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03d64890cf78b3/KTH - Dokument/"/>
    </mc:Choice>
  </mc:AlternateContent>
  <xr:revisionPtr revIDLastSave="343" documentId="8_{3BDF188E-236A-4E77-ABAB-2D9707167A3A}" xr6:coauthVersionLast="47" xr6:coauthVersionMax="47" xr10:uidLastSave="{5A1C32F3-4AD9-4539-A91F-0BB645A43E6B}"/>
  <bookViews>
    <workbookView xWindow="-120" yWindow="-120" windowWidth="29040" windowHeight="15840" xr2:uid="{2998E543-72BB-4A70-8D6C-FCDA9F7C4A12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4" i="1"/>
</calcChain>
</file>

<file path=xl/sharedStrings.xml><?xml version="1.0" encoding="utf-8"?>
<sst xmlns="http://schemas.openxmlformats.org/spreadsheetml/2006/main" count="19" uniqueCount="18">
  <si>
    <t>GLÖDLAMPA</t>
  </si>
  <si>
    <t>WHEATSTONE BRIDGE</t>
  </si>
  <si>
    <t>THERMOCOUPLE</t>
  </si>
  <si>
    <t>Spänning [V]</t>
  </si>
  <si>
    <t>Ström [mA]</t>
  </si>
  <si>
    <t>Resistans [kΩ]</t>
  </si>
  <si>
    <t>Resistor</t>
  </si>
  <si>
    <t>Temperature (Celsius)</t>
  </si>
  <si>
    <t>Spänning [mV]</t>
  </si>
  <si>
    <t>Temperature(celsius</t>
  </si>
  <si>
    <t>stora(kohm)</t>
  </si>
  <si>
    <t>lilla (kohm)</t>
  </si>
  <si>
    <t>R(blås)</t>
  </si>
  <si>
    <t>R1</t>
  </si>
  <si>
    <t>R2</t>
  </si>
  <si>
    <t>R3</t>
  </si>
  <si>
    <t>RG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</si>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</sst>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right" vertical="center"/>
    </xf>
    <xf numFmtId="0" fontId="0" fillId="2" borderId="0" xfId="0" applyFill="1"/>
    <xf numFmtId="0" fontId="0" fillId="5" borderId="0" xfId="0" applyFill="1"/>
    <xf numFmtId="0" fontId="1" fillId="5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Blad1!$B$3:$B$9</c:f>
              <c:numCache>
                <c:formatCode>General</c:formatCode>
                <c:ptCount val="7"/>
                <c:pt idx="0">
                  <c:v>0</c:v>
                </c:pt>
                <c:pt idx="1">
                  <c:v>27.17</c:v>
                </c:pt>
                <c:pt idx="2">
                  <c:v>41.78</c:v>
                </c:pt>
                <c:pt idx="3">
                  <c:v>53.61</c:v>
                </c:pt>
                <c:pt idx="4">
                  <c:v>63.93</c:v>
                </c:pt>
                <c:pt idx="5">
                  <c:v>73.239999999999995</c:v>
                </c:pt>
                <c:pt idx="6">
                  <c:v>81.75</c:v>
                </c:pt>
              </c:numCache>
            </c:numRef>
          </c:xVal>
          <c:yVal>
            <c:numRef>
              <c:f>Blad1!$C$3:$C$9</c:f>
              <c:numCache>
                <c:formatCode>General</c:formatCode>
                <c:ptCount val="7"/>
                <c:pt idx="1">
                  <c:v>0.18402649981597349</c:v>
                </c:pt>
                <c:pt idx="2">
                  <c:v>0.23934897079942555</c:v>
                </c:pt>
                <c:pt idx="3">
                  <c:v>0.27979854504756574</c:v>
                </c:pt>
                <c:pt idx="4">
                  <c:v>0.31284217112466761</c:v>
                </c:pt>
                <c:pt idx="5">
                  <c:v>0.34134352812670676</c:v>
                </c:pt>
                <c:pt idx="6">
                  <c:v>0.3669724770642202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7-456A-9A21-8810B488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05072"/>
        <c:axId val="443602992"/>
      </c:scatterChart>
      <c:valAx>
        <c:axId val="4436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Ström 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02992"/>
        <c:crosses val="autoZero"/>
        <c:crossBetween val="midCat"/>
      </c:valAx>
      <c:valAx>
        <c:axId val="44360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Resistans [k</a:t>
                </a:r>
                <a:r>
                  <a:rPr lang="el-GR"/>
                  <a:t>Ω</a:t>
                </a:r>
                <a:r>
                  <a:rPr lang="sv-SE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Karakteristik:</a:t>
            </a:r>
            <a:endParaRPr lang="sv-SE" baseline="0"/>
          </a:p>
          <a:p>
            <a:pPr>
              <a:defRPr/>
            </a:pPr>
            <a:r>
              <a:rPr lang="sv-SE" baseline="0"/>
              <a:t>Spänning som funktion av temperatur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Blad1!$P$3:$P$5</c:f>
              <c:numCache>
                <c:formatCode>General</c:formatCode>
                <c:ptCount val="3"/>
                <c:pt idx="0">
                  <c:v>0</c:v>
                </c:pt>
                <c:pt idx="1">
                  <c:v>18</c:v>
                </c:pt>
                <c:pt idx="2">
                  <c:v>29</c:v>
                </c:pt>
              </c:numCache>
            </c:numRef>
          </c:cat>
          <c:val>
            <c:numRef>
              <c:f>Blad1!$Q$3:$Q$5</c:f>
              <c:numCache>
                <c:formatCode>General</c:formatCode>
                <c:ptCount val="3"/>
                <c:pt idx="0">
                  <c:v>-0.7</c:v>
                </c:pt>
                <c:pt idx="1">
                  <c:v>-0.2</c:v>
                </c:pt>
                <c:pt idx="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9-474E-9348-5FFB3FE6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271888"/>
        <c:axId val="777269808"/>
      </c:lineChart>
      <c:catAx>
        <c:axId val="77727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69808"/>
        <c:crosses val="autoZero"/>
        <c:auto val="1"/>
        <c:lblAlgn val="ctr"/>
        <c:lblOffset val="100"/>
        <c:noMultiLvlLbl val="1"/>
      </c:catAx>
      <c:valAx>
        <c:axId val="77726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7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Blad1!$R$3:$R$8</c:f>
              <c:numCache>
                <c:formatCode>General</c:formatCode>
                <c:ptCount val="6"/>
                <c:pt idx="0">
                  <c:v>7</c:v>
                </c:pt>
                <c:pt idx="1">
                  <c:v>22</c:v>
                </c:pt>
                <c:pt idx="2">
                  <c:v>30</c:v>
                </c:pt>
                <c:pt idx="3">
                  <c:v>40</c:v>
                </c:pt>
                <c:pt idx="4">
                  <c:v>60</c:v>
                </c:pt>
                <c:pt idx="5">
                  <c:v>85</c:v>
                </c:pt>
              </c:numCache>
            </c:numRef>
          </c:xVal>
          <c:yVal>
            <c:numRef>
              <c:f>Blad1!$S$3:$S$8</c:f>
              <c:numCache>
                <c:formatCode>General</c:formatCode>
                <c:ptCount val="6"/>
                <c:pt idx="0">
                  <c:v>25</c:v>
                </c:pt>
                <c:pt idx="1">
                  <c:v>11.5</c:v>
                </c:pt>
                <c:pt idx="2">
                  <c:v>8</c:v>
                </c:pt>
                <c:pt idx="3">
                  <c:v>5.3</c:v>
                </c:pt>
                <c:pt idx="4">
                  <c:v>2.5</c:v>
                </c:pt>
                <c:pt idx="5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2-4B6F-9CAB-FE2ED4B8F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223584"/>
        <c:axId val="210776672"/>
      </c:scatterChart>
      <c:valAx>
        <c:axId val="73522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Temperatur [</a:t>
                </a:r>
                <a:r>
                  <a:rPr lang="sv-SE" sz="1000" b="0" i="0" u="none" strike="noStrike" baseline="0">
                    <a:effectLst/>
                  </a:rPr>
                  <a:t>C]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6672"/>
        <c:crosses val="autoZero"/>
        <c:crossBetween val="midCat"/>
      </c:valAx>
      <c:valAx>
        <c:axId val="21077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Resistans [k  </a:t>
                </a:r>
                <a:r>
                  <a:rPr lang="el-GR"/>
                  <a:t>Ω]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Blad1!$R$3:$R$8</c:f>
              <c:strCache>
                <c:ptCount val="6"/>
                <c:pt idx="0">
                  <c:v>7</c:v>
                </c:pt>
                <c:pt idx="1">
                  <c:v>22</c:v>
                </c:pt>
                <c:pt idx="2">
                  <c:v>30</c:v>
                </c:pt>
                <c:pt idx="3">
                  <c:v>40</c:v>
                </c:pt>
                <c:pt idx="4">
                  <c:v>60</c:v>
                </c:pt>
                <c:pt idx="5">
                  <c:v>85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Blad1!$R$3:$R$8</c:f>
              <c:numCache>
                <c:formatCode>General</c:formatCode>
                <c:ptCount val="6"/>
                <c:pt idx="0">
                  <c:v>7</c:v>
                </c:pt>
                <c:pt idx="1">
                  <c:v>22</c:v>
                </c:pt>
                <c:pt idx="2">
                  <c:v>30</c:v>
                </c:pt>
                <c:pt idx="3">
                  <c:v>40</c:v>
                </c:pt>
                <c:pt idx="4">
                  <c:v>60</c:v>
                </c:pt>
                <c:pt idx="5">
                  <c:v>85</c:v>
                </c:pt>
              </c:numCache>
            </c:numRef>
          </c:xVal>
          <c:yVal>
            <c:numRef>
              <c:f>Blad1!$T$3:$T$8</c:f>
              <c:numCache>
                <c:formatCode>General</c:formatCode>
                <c:ptCount val="6"/>
                <c:pt idx="0">
                  <c:v>140</c:v>
                </c:pt>
                <c:pt idx="1">
                  <c:v>101</c:v>
                </c:pt>
                <c:pt idx="2">
                  <c:v>77</c:v>
                </c:pt>
                <c:pt idx="3">
                  <c:v>53</c:v>
                </c:pt>
                <c:pt idx="4">
                  <c:v>25</c:v>
                </c:pt>
                <c:pt idx="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1-4D9B-8A2F-170E9D6B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071360"/>
        <c:axId val="297296432"/>
      </c:scatterChart>
      <c:valAx>
        <c:axId val="78007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Temperatur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296432"/>
        <c:crosses val="autoZero"/>
        <c:crossBetween val="midCat"/>
      </c:valAx>
      <c:valAx>
        <c:axId val="2972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Resistans [k   </a:t>
                </a:r>
                <a:r>
                  <a:rPr lang="el-GR" sz="1000" b="0" i="0" baseline="0">
                    <a:effectLst/>
                  </a:rPr>
                  <a:t>Ω]</a:t>
                </a:r>
                <a:endParaRPr lang="el-G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7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Spänning av temperatur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Blad1!$Q$2</c:f>
              <c:strCache>
                <c:ptCount val="1"/>
                <c:pt idx="0">
                  <c:v>Spänning [mV]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Blad1!$P$3:$P$11</c:f>
              <c:numCache>
                <c:formatCode>General</c:formatCode>
                <c:ptCount val="9"/>
                <c:pt idx="0">
                  <c:v>0</c:v>
                </c:pt>
                <c:pt idx="1">
                  <c:v>18</c:v>
                </c:pt>
                <c:pt idx="2">
                  <c:v>29</c:v>
                </c:pt>
                <c:pt idx="3">
                  <c:v>37</c:v>
                </c:pt>
                <c:pt idx="4">
                  <c:v>45</c:v>
                </c:pt>
                <c:pt idx="5">
                  <c:v>59</c:v>
                </c:pt>
                <c:pt idx="6">
                  <c:v>67</c:v>
                </c:pt>
                <c:pt idx="7">
                  <c:v>82</c:v>
                </c:pt>
                <c:pt idx="8">
                  <c:v>100</c:v>
                </c:pt>
              </c:numCache>
            </c:numRef>
          </c:xVal>
          <c:yVal>
            <c:numRef>
              <c:f>Blad1!$Q$3:$Q$11</c:f>
              <c:numCache>
                <c:formatCode>General</c:formatCode>
                <c:ptCount val="9"/>
                <c:pt idx="0">
                  <c:v>-0.7</c:v>
                </c:pt>
                <c:pt idx="1">
                  <c:v>-0.2</c:v>
                </c:pt>
                <c:pt idx="2">
                  <c:v>0.2</c:v>
                </c:pt>
                <c:pt idx="3">
                  <c:v>0.5</c:v>
                </c:pt>
                <c:pt idx="4">
                  <c:v>0.8</c:v>
                </c:pt>
                <c:pt idx="5">
                  <c:v>1.4</c:v>
                </c:pt>
                <c:pt idx="6">
                  <c:v>1.8</c:v>
                </c:pt>
                <c:pt idx="7">
                  <c:v>2.1</c:v>
                </c:pt>
                <c:pt idx="8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7-4B92-925B-887CDB89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526007"/>
        <c:axId val="1582013976"/>
      </c:scatterChart>
      <c:valAx>
        <c:axId val="605526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13976"/>
        <c:crossesAt val="-1"/>
        <c:crossBetween val="midCat"/>
      </c:valAx>
      <c:valAx>
        <c:axId val="158201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spänning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26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1</xdr:row>
      <xdr:rowOff>30480</xdr:rowOff>
    </xdr:from>
    <xdr:to>
      <xdr:col>11</xdr:col>
      <xdr:colOff>0</xdr:colOff>
      <xdr:row>16</xdr:row>
      <xdr:rowOff>15240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F20A478-CD86-44EF-ACD4-C09B94300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45720</xdr:colOff>
      <xdr:row>9</xdr:row>
      <xdr:rowOff>30480</xdr:rowOff>
    </xdr:from>
    <xdr:ext cx="1147429" cy="3502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ruta 3">
              <a:extLst>
                <a:ext uri="{FF2B5EF4-FFF2-40B4-BE49-F238E27FC236}">
                  <a16:creationId xmlns:a16="http://schemas.microsoft.com/office/drawing/2014/main" id="{E23B3F97-4CE8-4EDC-ABFA-F9C9EDFEC004}"/>
                </a:ext>
              </a:extLst>
            </xdr:cNvPr>
            <xdr:cNvSpPr txBox="1"/>
          </xdr:nvSpPr>
          <xdr:spPr>
            <a:xfrm>
              <a:off x="8915400" y="1767840"/>
              <a:ext cx="1147429" cy="3502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𝐺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1+50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sv-SE" sz="1100"/>
            </a:p>
          </xdr:txBody>
        </xdr:sp>
      </mc:Choice>
      <mc:Fallback xmlns="">
        <xdr:sp macro="" textlink="">
          <xdr:nvSpPr>
            <xdr:cNvPr id="4" name="textruta 3">
              <a:extLst>
                <a:ext uri="{FF2B5EF4-FFF2-40B4-BE49-F238E27FC236}">
                  <a16:creationId xmlns:a16="http://schemas.microsoft.com/office/drawing/2014/main" id="{E23B3F97-4CE8-4EDC-ABFA-F9C9EDFEC004}"/>
                </a:ext>
              </a:extLst>
            </xdr:cNvPr>
            <xdr:cNvSpPr txBox="1"/>
          </xdr:nvSpPr>
          <xdr:spPr>
            <a:xfrm>
              <a:off x="8915400" y="1767840"/>
              <a:ext cx="1147429" cy="3502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𝐺(𝐴)=(1+50𝑘)/𝑅_𝐺 =</a:t>
              </a:r>
              <a:endParaRPr lang="sv-SE" sz="1100"/>
            </a:p>
          </xdr:txBody>
        </xdr:sp>
      </mc:Fallback>
    </mc:AlternateContent>
    <xdr:clientData/>
  </xdr:oneCellAnchor>
  <xdr:twoCellAnchor>
    <xdr:from>
      <xdr:col>20</xdr:col>
      <xdr:colOff>238125</xdr:colOff>
      <xdr:row>3</xdr:row>
      <xdr:rowOff>133350</xdr:rowOff>
    </xdr:from>
    <xdr:to>
      <xdr:col>28</xdr:col>
      <xdr:colOff>200025</xdr:colOff>
      <xdr:row>16</xdr:row>
      <xdr:rowOff>171450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4AB2A75D-663A-44FD-9EA3-10EE9574CB65}"/>
            </a:ext>
            <a:ext uri="{147F2762-F138-4A5C-976F-8EAC2B608ADB}">
              <a16:predDERef xmlns:a16="http://schemas.microsoft.com/office/drawing/2014/main" pred="{E23B3F97-4CE8-4EDC-ABFA-F9C9EDFEC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1352550</xdr:colOff>
      <xdr:row>20</xdr:row>
      <xdr:rowOff>176212</xdr:rowOff>
    </xdr:from>
    <xdr:to>
      <xdr:col>22</xdr:col>
      <xdr:colOff>333375</xdr:colOff>
      <xdr:row>35</xdr:row>
      <xdr:rowOff>61912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64F1F26-A5FB-4C82-9E68-8CB86460B67D}"/>
            </a:ext>
            <a:ext uri="{147F2762-F138-4A5C-976F-8EAC2B608ADB}">
              <a16:predDERef xmlns:a16="http://schemas.microsoft.com/office/drawing/2014/main" pred="{4AB2A75D-663A-44FD-9EA3-10EE9574C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16808</xdr:colOff>
      <xdr:row>21</xdr:row>
      <xdr:rowOff>12326</xdr:rowOff>
    </xdr:from>
    <xdr:to>
      <xdr:col>30</xdr:col>
      <xdr:colOff>352985</xdr:colOff>
      <xdr:row>35</xdr:row>
      <xdr:rowOff>88526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142CF8B3-CA7B-4AF5-A74E-A3AF253217DA}"/>
            </a:ext>
            <a:ext uri="{147F2762-F138-4A5C-976F-8EAC2B608ADB}">
              <a16:predDERef xmlns:a16="http://schemas.microsoft.com/office/drawing/2014/main" pred="{F64F1F26-A5FB-4C82-9E68-8CB86460B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1428750</xdr:colOff>
      <xdr:row>5</xdr:row>
      <xdr:rowOff>142875</xdr:rowOff>
    </xdr:from>
    <xdr:to>
      <xdr:col>24</xdr:col>
      <xdr:colOff>276225</xdr:colOff>
      <xdr:row>20</xdr:row>
      <xdr:rowOff>28575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23D28F19-7B08-4AB9-86D0-5C169B5D5F4A}"/>
            </a:ext>
            <a:ext uri="{147F2762-F138-4A5C-976F-8EAC2B608ADB}">
              <a16:predDERef xmlns:a16="http://schemas.microsoft.com/office/drawing/2014/main" pred="{3ED66D47-E205-4E3B-BEBE-9E976DF80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2929-0FE0-4BAC-8962-DA733FBF723D}">
  <dimension ref="A1:Y11"/>
  <sheetViews>
    <sheetView tabSelected="1" topLeftCell="P18" zoomScale="85" zoomScaleNormal="85" workbookViewId="0">
      <selection activeCell="S39" sqref="S39"/>
    </sheetView>
  </sheetViews>
  <sheetFormatPr defaultRowHeight="15"/>
  <cols>
    <col min="1" max="1" width="18.5703125" customWidth="1"/>
    <col min="2" max="2" width="15.140625" customWidth="1"/>
    <col min="3" max="3" width="15.7109375" customWidth="1"/>
    <col min="13" max="13" width="17.42578125" customWidth="1"/>
    <col min="14" max="14" width="17.7109375" customWidth="1"/>
    <col min="16" max="16" width="20.42578125" customWidth="1"/>
    <col min="17" max="17" width="17.7109375" customWidth="1"/>
    <col min="18" max="18" width="22.7109375" customWidth="1"/>
    <col min="19" max="19" width="13.85546875" customWidth="1"/>
    <col min="20" max="20" width="13.5703125" customWidth="1"/>
    <col min="21" max="21" width="8.28515625" customWidth="1"/>
  </cols>
  <sheetData>
    <row r="1" spans="1: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M1" s="5" t="s">
        <v>1</v>
      </c>
      <c r="N1" s="6"/>
      <c r="P1" s="10" t="s">
        <v>2</v>
      </c>
      <c r="Q1" s="9"/>
      <c r="R1" s="9"/>
      <c r="S1" s="9"/>
      <c r="T1" s="9"/>
      <c r="U1" s="9"/>
      <c r="V1" s="9"/>
      <c r="W1" s="9"/>
      <c r="X1" s="9"/>
      <c r="Y1" s="9"/>
    </row>
    <row r="2" spans="1:25" ht="21.6" customHeight="1">
      <c r="A2" s="2" t="s">
        <v>3</v>
      </c>
      <c r="B2" s="2" t="s">
        <v>4</v>
      </c>
      <c r="C2" s="2" t="s">
        <v>5</v>
      </c>
      <c r="M2" s="2" t="s">
        <v>6</v>
      </c>
      <c r="N2" s="7" t="s">
        <v>5</v>
      </c>
      <c r="P2" s="2" t="s">
        <v>7</v>
      </c>
      <c r="Q2" s="7" t="s">
        <v>8</v>
      </c>
      <c r="R2" t="s">
        <v>9</v>
      </c>
      <c r="S2" t="s">
        <v>10</v>
      </c>
      <c r="T2" t="s">
        <v>11</v>
      </c>
    </row>
    <row r="3" spans="1:25">
      <c r="A3">
        <v>0</v>
      </c>
      <c r="B3">
        <v>0</v>
      </c>
      <c r="C3" s="1"/>
      <c r="M3" t="s">
        <v>12</v>
      </c>
      <c r="N3">
        <v>100.04</v>
      </c>
      <c r="P3">
        <v>0</v>
      </c>
      <c r="Q3">
        <v>-0.7</v>
      </c>
      <c r="R3">
        <v>7</v>
      </c>
      <c r="S3">
        <v>25</v>
      </c>
      <c r="T3">
        <v>140</v>
      </c>
    </row>
    <row r="4" spans="1:25">
      <c r="A4">
        <v>5</v>
      </c>
      <c r="B4">
        <v>27.17</v>
      </c>
      <c r="C4">
        <f>A4/B4</f>
        <v>0.18402649981597349</v>
      </c>
      <c r="M4" t="s">
        <v>13</v>
      </c>
      <c r="N4">
        <v>100.07</v>
      </c>
      <c r="P4">
        <v>18</v>
      </c>
      <c r="Q4">
        <v>-0.2</v>
      </c>
      <c r="R4">
        <v>22</v>
      </c>
      <c r="S4">
        <v>11.5</v>
      </c>
      <c r="T4">
        <v>101</v>
      </c>
    </row>
    <row r="5" spans="1:25">
      <c r="A5">
        <v>10</v>
      </c>
      <c r="B5">
        <v>41.78</v>
      </c>
      <c r="C5">
        <f t="shared" ref="C5:C9" si="0">A5/B5</f>
        <v>0.23934897079942555</v>
      </c>
      <c r="M5" t="s">
        <v>14</v>
      </c>
      <c r="N5">
        <v>100.03</v>
      </c>
      <c r="P5">
        <v>29</v>
      </c>
      <c r="Q5">
        <v>0.2</v>
      </c>
      <c r="R5">
        <v>30</v>
      </c>
      <c r="S5">
        <v>8</v>
      </c>
      <c r="T5">
        <v>77</v>
      </c>
    </row>
    <row r="6" spans="1:25">
      <c r="A6">
        <v>15</v>
      </c>
      <c r="B6">
        <v>53.61</v>
      </c>
      <c r="C6">
        <f t="shared" si="0"/>
        <v>0.27979854504756574</v>
      </c>
      <c r="M6" t="s">
        <v>15</v>
      </c>
      <c r="N6">
        <v>99.98</v>
      </c>
      <c r="P6">
        <v>37</v>
      </c>
      <c r="Q6">
        <v>0.5</v>
      </c>
      <c r="R6">
        <v>40</v>
      </c>
      <c r="S6">
        <v>5.3</v>
      </c>
      <c r="T6">
        <v>53</v>
      </c>
    </row>
    <row r="7" spans="1:25">
      <c r="A7">
        <v>20</v>
      </c>
      <c r="B7">
        <v>63.93</v>
      </c>
      <c r="C7">
        <f t="shared" si="0"/>
        <v>0.31284217112466761</v>
      </c>
      <c r="M7" t="s">
        <v>16</v>
      </c>
      <c r="N7">
        <v>10</v>
      </c>
      <c r="P7">
        <v>45</v>
      </c>
      <c r="Q7">
        <v>0.8</v>
      </c>
      <c r="R7">
        <v>60</v>
      </c>
      <c r="S7">
        <v>2.5</v>
      </c>
      <c r="T7">
        <v>25</v>
      </c>
    </row>
    <row r="8" spans="1:25">
      <c r="A8">
        <v>25</v>
      </c>
      <c r="B8">
        <v>73.239999999999995</v>
      </c>
      <c r="C8">
        <f t="shared" si="0"/>
        <v>0.34134352812670676</v>
      </c>
      <c r="P8">
        <v>59</v>
      </c>
      <c r="Q8">
        <v>1.4</v>
      </c>
      <c r="R8">
        <v>85</v>
      </c>
      <c r="S8">
        <v>1.1000000000000001</v>
      </c>
      <c r="T8">
        <v>14</v>
      </c>
    </row>
    <row r="9" spans="1:25">
      <c r="A9">
        <v>30</v>
      </c>
      <c r="B9">
        <v>81.75</v>
      </c>
      <c r="C9">
        <f t="shared" si="0"/>
        <v>0.3669724770642202</v>
      </c>
      <c r="M9" s="2" t="s">
        <v>17</v>
      </c>
      <c r="N9" s="8"/>
      <c r="P9">
        <v>67</v>
      </c>
      <c r="Q9">
        <v>1.8</v>
      </c>
    </row>
    <row r="10" spans="1:25">
      <c r="M10" s="11"/>
      <c r="N10" s="11"/>
      <c r="P10">
        <v>82</v>
      </c>
      <c r="Q10">
        <v>2.1</v>
      </c>
    </row>
    <row r="11" spans="1:25">
      <c r="M11" s="11"/>
      <c r="N11" s="11"/>
      <c r="P11">
        <v>100</v>
      </c>
      <c r="Q11">
        <v>2.5</v>
      </c>
    </row>
  </sheetData>
  <mergeCells count="1">
    <mergeCell ref="M10:N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Sahand Khodabandehloo</dc:creator>
  <cp:keywords/>
  <dc:description/>
  <cp:lastModifiedBy>tor modin</cp:lastModifiedBy>
  <cp:revision/>
  <dcterms:created xsi:type="dcterms:W3CDTF">2022-03-03T12:48:52Z</dcterms:created>
  <dcterms:modified xsi:type="dcterms:W3CDTF">2022-03-21T13:35:48Z</dcterms:modified>
  <cp:category/>
  <cp:contentStatus/>
</cp:coreProperties>
</file>