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03d64890cf78b3/KTH/År 4/HL103X VT24-3 Examensarbete inom medicinsk teknik^J grundnivå - 15^J0 hp/"/>
    </mc:Choice>
  </mc:AlternateContent>
  <xr:revisionPtr revIDLastSave="748" documentId="8_{A36C5465-536F-49D1-94F6-EA2A605511B7}" xr6:coauthVersionLast="47" xr6:coauthVersionMax="47" xr10:uidLastSave="{BEEF7E32-A15C-420C-B51A-11B87FE96BA9}"/>
  <bookViews>
    <workbookView minimized="1" xWindow="7400" yWindow="3460" windowWidth="23060" windowHeight="15470" xr2:uid="{536E2150-0B16-4CAF-811D-F1DD48E434CC}"/>
  </bookViews>
  <sheets>
    <sheet name="Blad1" sheetId="1" r:id="rId1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E35" i="1" s="1"/>
  <c r="D37" i="1"/>
  <c r="E37" i="1" s="1"/>
  <c r="D33" i="1"/>
  <c r="E33" i="1" s="1"/>
  <c r="D32" i="1"/>
  <c r="E32" i="1" s="1"/>
  <c r="D31" i="1"/>
  <c r="E31" i="1" s="1"/>
  <c r="D17" i="1"/>
  <c r="E17" i="1" s="1"/>
  <c r="D30" i="1"/>
  <c r="E30" i="1" s="1"/>
  <c r="D28" i="1"/>
  <c r="E28" i="1" s="1"/>
  <c r="D27" i="1"/>
  <c r="E27" i="1" s="1"/>
  <c r="D26" i="1"/>
  <c r="E26" i="1" s="1"/>
  <c r="D25" i="1"/>
  <c r="E25" i="1" s="1"/>
  <c r="D22" i="1"/>
  <c r="E22" i="1" s="1"/>
  <c r="D39" i="1"/>
  <c r="E39" i="1" s="1"/>
  <c r="D19" i="1"/>
  <c r="E19" i="1" s="1"/>
  <c r="D21" i="1"/>
  <c r="E21" i="1" s="1"/>
  <c r="D23" i="1"/>
  <c r="E23" i="1" s="1"/>
  <c r="D18" i="1"/>
  <c r="E18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6" i="1"/>
  <c r="E16" i="1" s="1"/>
  <c r="D3" i="1"/>
  <c r="E3" i="1" s="1"/>
</calcChain>
</file>

<file path=xl/sharedStrings.xml><?xml version="1.0" encoding="utf-8"?>
<sst xmlns="http://schemas.openxmlformats.org/spreadsheetml/2006/main" count="36" uniqueCount="36">
  <si>
    <t>Aktivitet</t>
  </si>
  <si>
    <t>Startdatum</t>
  </si>
  <si>
    <t>Slutdatum</t>
  </si>
  <si>
    <t>Rapportskrivning</t>
  </si>
  <si>
    <t>Dagar</t>
  </si>
  <si>
    <t>Veckor</t>
  </si>
  <si>
    <t>GANTT-DIAGRAM</t>
  </si>
  <si>
    <t>Seminarium 3: Presentation och opponering</t>
  </si>
  <si>
    <t>Förord</t>
  </si>
  <si>
    <t>Sammanfattning och Abstract</t>
  </si>
  <si>
    <t>Förkortningar</t>
  </si>
  <si>
    <t>1 Introduktion</t>
  </si>
  <si>
    <t>2 Bakgrund</t>
  </si>
  <si>
    <t>3 Metod</t>
  </si>
  <si>
    <t>4 Resultat</t>
  </si>
  <si>
    <t>5 Diskussion</t>
  </si>
  <si>
    <t>6 Slutsats</t>
  </si>
  <si>
    <t>7 Referenser</t>
  </si>
  <si>
    <t>8 Bilagor</t>
  </si>
  <si>
    <t>Konstruktion av Faraday-kopp</t>
  </si>
  <si>
    <t>CAD-design av kopparskiva</t>
  </si>
  <si>
    <t>Eventuell revidering av slutrapport</t>
  </si>
  <si>
    <t>Stegmotor</t>
  </si>
  <si>
    <t>Undersöka och beställa kontrollenhet</t>
  </si>
  <si>
    <t>Programmera styrningen av stegmotorn</t>
  </si>
  <si>
    <t>Testning av drivning av motorn</t>
  </si>
  <si>
    <t>CAD-design av drivaxel till stegmotor</t>
  </si>
  <si>
    <t>Flens och elgenomföring</t>
  </si>
  <si>
    <t>Testning av metallskiva</t>
  </si>
  <si>
    <t>Roterande skiva</t>
  </si>
  <si>
    <t>Design av Faraday-kopp</t>
  </si>
  <si>
    <t>CAD-design av Faraday-kopp</t>
  </si>
  <si>
    <t>CAD-design av yttre flens</t>
  </si>
  <si>
    <t>CAD-design av elgenomföring</t>
  </si>
  <si>
    <t>CAD-design av mindre flens till stegmotorn</t>
  </si>
  <si>
    <t>Sammanställning av alla delar i CAD-assembly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</si>
</sst>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D]dd/mmm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1" xfId="0" applyBorder="1"/>
    <xf numFmtId="164" fontId="0" fillId="0" borderId="0" xfId="0" applyNumberFormat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2" fillId="2" borderId="0" xfId="0" applyFont="1" applyFill="1" applyAlignment="1">
      <alignment horizontal="right"/>
    </xf>
    <xf numFmtId="164" fontId="3" fillId="2" borderId="0" xfId="0" applyNumberFormat="1" applyFont="1" applyFill="1"/>
    <xf numFmtId="0" fontId="3" fillId="2" borderId="0" xfId="0" applyFont="1" applyFill="1"/>
    <xf numFmtId="1" fontId="3" fillId="2" borderId="0" xfId="0" applyNumberFormat="1" applyFont="1" applyFill="1"/>
    <xf numFmtId="0" fontId="1" fillId="2" borderId="0" xfId="0" applyFont="1" applyFill="1" applyAlignment="1">
      <alignment horizontal="right"/>
    </xf>
    <xf numFmtId="164" fontId="0" fillId="2" borderId="0" xfId="0" applyNumberFormat="1" applyFill="1"/>
    <xf numFmtId="0" fontId="0" fillId="2" borderId="0" xfId="0" applyFill="1" applyAlignment="1">
      <alignment horizontal="right"/>
    </xf>
    <xf numFmtId="0" fontId="1" fillId="3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86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 b="1"/>
              <a:t>Tidplanering</a:t>
            </a:r>
            <a:r>
              <a:rPr lang="sv-SE" b="1" baseline="0"/>
              <a:t> - 18 mars - 31 maj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Blad1!$B$2</c:f>
              <c:strCache>
                <c:ptCount val="1"/>
                <c:pt idx="0">
                  <c:v>Startdatum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Blad1!$A$3:$A$39</c:f>
              <c:strCache>
                <c:ptCount val="37"/>
                <c:pt idx="0">
                  <c:v>Rapportskrivning</c:v>
                </c:pt>
                <c:pt idx="1">
                  <c:v>Förord</c:v>
                </c:pt>
                <c:pt idx="2">
                  <c:v>Sammanfattning och Abstract</c:v>
                </c:pt>
                <c:pt idx="3">
                  <c:v>Förkortningar</c:v>
                </c:pt>
                <c:pt idx="4">
                  <c:v>1 Introduktion</c:v>
                </c:pt>
                <c:pt idx="5">
                  <c:v>2 Bakgrund</c:v>
                </c:pt>
                <c:pt idx="6">
                  <c:v>3 Metod</c:v>
                </c:pt>
                <c:pt idx="7">
                  <c:v>4 Resultat</c:v>
                </c:pt>
                <c:pt idx="8">
                  <c:v>5 Diskussion</c:v>
                </c:pt>
                <c:pt idx="9">
                  <c:v>6 Slutsats</c:v>
                </c:pt>
                <c:pt idx="10">
                  <c:v>7 Referenser</c:v>
                </c:pt>
                <c:pt idx="11">
                  <c:v>8 Bilagor</c:v>
                </c:pt>
                <c:pt idx="13">
                  <c:v>Roterande skiva</c:v>
                </c:pt>
                <c:pt idx="14">
                  <c:v>CAD-design av kopparskiva</c:v>
                </c:pt>
                <c:pt idx="15">
                  <c:v>CAD-design av drivaxel till stegmotor</c:v>
                </c:pt>
                <c:pt idx="16">
                  <c:v>Testning av metallskiva</c:v>
                </c:pt>
                <c:pt idx="18">
                  <c:v>Design av Faraday-kopp</c:v>
                </c:pt>
                <c:pt idx="19">
                  <c:v>CAD-design av Faraday-kopp</c:v>
                </c:pt>
                <c:pt idx="20">
                  <c:v>Konstruktion av Faraday-kopp</c:v>
                </c:pt>
                <c:pt idx="22">
                  <c:v>Stegmotor</c:v>
                </c:pt>
                <c:pt idx="23">
                  <c:v>Undersöka och beställa kontrollenhet</c:v>
                </c:pt>
                <c:pt idx="24">
                  <c:v>Programmera styrningen av stegmotorn</c:v>
                </c:pt>
                <c:pt idx="25">
                  <c:v>Testning av drivning av motorn</c:v>
                </c:pt>
                <c:pt idx="27">
                  <c:v>Flens och elgenomföring</c:v>
                </c:pt>
                <c:pt idx="28">
                  <c:v>CAD-design av yttre flens</c:v>
                </c:pt>
                <c:pt idx="29">
                  <c:v>CAD-design av elgenomföring</c:v>
                </c:pt>
                <c:pt idx="30">
                  <c:v>CAD-design av mindre flens till stegmotorn</c:v>
                </c:pt>
                <c:pt idx="32">
                  <c:v>Sammanställning av alla delar i CAD-assembly</c:v>
                </c:pt>
                <c:pt idx="34">
                  <c:v>Seminarium 3: Presentation och opponering</c:v>
                </c:pt>
                <c:pt idx="36">
                  <c:v>Eventuell revidering av slutrapport</c:v>
                </c:pt>
              </c:strCache>
            </c:strRef>
          </c:cat>
          <c:val>
            <c:numRef>
              <c:f>Blad1!$B$3:$B$39</c:f>
              <c:numCache>
                <c:formatCode>[$-41D]dd/mmm;@</c:formatCode>
                <c:ptCount val="37"/>
                <c:pt idx="0">
                  <c:v>45369</c:v>
                </c:pt>
                <c:pt idx="1">
                  <c:v>45369</c:v>
                </c:pt>
                <c:pt idx="2">
                  <c:v>45420</c:v>
                </c:pt>
                <c:pt idx="3">
                  <c:v>45369</c:v>
                </c:pt>
                <c:pt idx="4">
                  <c:v>45369</c:v>
                </c:pt>
                <c:pt idx="5">
                  <c:v>45369</c:v>
                </c:pt>
                <c:pt idx="6">
                  <c:v>45390</c:v>
                </c:pt>
                <c:pt idx="7">
                  <c:v>45392</c:v>
                </c:pt>
                <c:pt idx="8">
                  <c:v>45398</c:v>
                </c:pt>
                <c:pt idx="9">
                  <c:v>45411</c:v>
                </c:pt>
                <c:pt idx="10">
                  <c:v>45369</c:v>
                </c:pt>
                <c:pt idx="11">
                  <c:v>45402</c:v>
                </c:pt>
                <c:pt idx="13">
                  <c:v>45376</c:v>
                </c:pt>
                <c:pt idx="14">
                  <c:v>45376</c:v>
                </c:pt>
                <c:pt idx="15">
                  <c:v>45376</c:v>
                </c:pt>
                <c:pt idx="16">
                  <c:v>45413</c:v>
                </c:pt>
                <c:pt idx="18">
                  <c:v>45376</c:v>
                </c:pt>
                <c:pt idx="19">
                  <c:v>45376</c:v>
                </c:pt>
                <c:pt idx="20">
                  <c:v>45392</c:v>
                </c:pt>
                <c:pt idx="22">
                  <c:v>45393</c:v>
                </c:pt>
                <c:pt idx="23">
                  <c:v>45393</c:v>
                </c:pt>
                <c:pt idx="24">
                  <c:v>45406</c:v>
                </c:pt>
                <c:pt idx="25">
                  <c:v>45415</c:v>
                </c:pt>
                <c:pt idx="27">
                  <c:v>45386</c:v>
                </c:pt>
                <c:pt idx="28">
                  <c:v>45386</c:v>
                </c:pt>
                <c:pt idx="29">
                  <c:v>45393</c:v>
                </c:pt>
                <c:pt idx="30">
                  <c:v>45389</c:v>
                </c:pt>
                <c:pt idx="32">
                  <c:v>45394</c:v>
                </c:pt>
                <c:pt idx="34">
                  <c:v>45442</c:v>
                </c:pt>
                <c:pt idx="36">
                  <c:v>45443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30-401C-A5B5-ADAA39A91193}"/>
            </c:ext>
          </c:extLst>
        </c:ser>
        <c:ser>
          <c:idx val="1"/>
          <c:order val="1"/>
          <c:tx>
            <c:strRef>
              <c:f>Blad1!$D$2</c:f>
              <c:strCache>
                <c:ptCount val="1"/>
                <c:pt idx="0">
                  <c:v>Dagar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230-401C-A5B5-ADAA39A91193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BC-4FC9-AB91-0A570FF70967}"/>
              </c:ext>
            </c:extLst>
          </c:dPt>
          <c:dPt>
            <c:idx val="18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</c:dPt>
          <c:dPt>
            <c:idx val="22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F4BC-4FC9-AB91-0A570FF70967}"/>
              </c:ext>
            </c:extLst>
          </c:dPt>
          <c:dPt>
            <c:idx val="27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F4BC-4FC9-AB91-0A570FF70967}"/>
              </c:ext>
            </c:extLst>
          </c:dPt>
          <c:dPt>
            <c:idx val="32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4BC-4FC9-AB91-0A570FF70967}"/>
              </c:ext>
            </c:extLst>
          </c:dPt>
          <c:dPt>
            <c:idx val="34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</c:dPt>
          <c:cat>
            <c:strRef>
              <c:f>Blad1!$A$3:$A$39</c:f>
              <c:strCache>
                <c:ptCount val="37"/>
                <c:pt idx="0">
                  <c:v>Rapportskrivning</c:v>
                </c:pt>
                <c:pt idx="1">
                  <c:v>Förord</c:v>
                </c:pt>
                <c:pt idx="2">
                  <c:v>Sammanfattning och Abstract</c:v>
                </c:pt>
                <c:pt idx="3">
                  <c:v>Förkortningar</c:v>
                </c:pt>
                <c:pt idx="4">
                  <c:v>1 Introduktion</c:v>
                </c:pt>
                <c:pt idx="5">
                  <c:v>2 Bakgrund</c:v>
                </c:pt>
                <c:pt idx="6">
                  <c:v>3 Metod</c:v>
                </c:pt>
                <c:pt idx="7">
                  <c:v>4 Resultat</c:v>
                </c:pt>
                <c:pt idx="8">
                  <c:v>5 Diskussion</c:v>
                </c:pt>
                <c:pt idx="9">
                  <c:v>6 Slutsats</c:v>
                </c:pt>
                <c:pt idx="10">
                  <c:v>7 Referenser</c:v>
                </c:pt>
                <c:pt idx="11">
                  <c:v>8 Bilagor</c:v>
                </c:pt>
                <c:pt idx="13">
                  <c:v>Roterande skiva</c:v>
                </c:pt>
                <c:pt idx="14">
                  <c:v>CAD-design av kopparskiva</c:v>
                </c:pt>
                <c:pt idx="15">
                  <c:v>CAD-design av drivaxel till stegmotor</c:v>
                </c:pt>
                <c:pt idx="16">
                  <c:v>Testning av metallskiva</c:v>
                </c:pt>
                <c:pt idx="18">
                  <c:v>Design av Faraday-kopp</c:v>
                </c:pt>
                <c:pt idx="19">
                  <c:v>CAD-design av Faraday-kopp</c:v>
                </c:pt>
                <c:pt idx="20">
                  <c:v>Konstruktion av Faraday-kopp</c:v>
                </c:pt>
                <c:pt idx="22">
                  <c:v>Stegmotor</c:v>
                </c:pt>
                <c:pt idx="23">
                  <c:v>Undersöka och beställa kontrollenhet</c:v>
                </c:pt>
                <c:pt idx="24">
                  <c:v>Programmera styrningen av stegmotorn</c:v>
                </c:pt>
                <c:pt idx="25">
                  <c:v>Testning av drivning av motorn</c:v>
                </c:pt>
                <c:pt idx="27">
                  <c:v>Flens och elgenomföring</c:v>
                </c:pt>
                <c:pt idx="28">
                  <c:v>CAD-design av yttre flens</c:v>
                </c:pt>
                <c:pt idx="29">
                  <c:v>CAD-design av elgenomföring</c:v>
                </c:pt>
                <c:pt idx="30">
                  <c:v>CAD-design av mindre flens till stegmotorn</c:v>
                </c:pt>
                <c:pt idx="32">
                  <c:v>Sammanställning av alla delar i CAD-assembly</c:v>
                </c:pt>
                <c:pt idx="34">
                  <c:v>Seminarium 3: Presentation och opponering</c:v>
                </c:pt>
                <c:pt idx="36">
                  <c:v>Eventuell revidering av slutrapport</c:v>
                </c:pt>
              </c:strCache>
            </c:strRef>
          </c:cat>
          <c:val>
            <c:numRef>
              <c:f>Blad1!$D$3:$D$39</c:f>
              <c:numCache>
                <c:formatCode>General</c:formatCode>
                <c:ptCount val="37"/>
                <c:pt idx="0">
                  <c:v>63</c:v>
                </c:pt>
                <c:pt idx="1">
                  <c:v>1</c:v>
                </c:pt>
                <c:pt idx="2">
                  <c:v>12</c:v>
                </c:pt>
                <c:pt idx="3">
                  <c:v>56</c:v>
                </c:pt>
                <c:pt idx="4">
                  <c:v>12</c:v>
                </c:pt>
                <c:pt idx="5">
                  <c:v>12</c:v>
                </c:pt>
                <c:pt idx="6">
                  <c:v>25</c:v>
                </c:pt>
                <c:pt idx="7">
                  <c:v>40</c:v>
                </c:pt>
                <c:pt idx="8">
                  <c:v>34</c:v>
                </c:pt>
                <c:pt idx="9">
                  <c:v>21</c:v>
                </c:pt>
                <c:pt idx="10">
                  <c:v>63</c:v>
                </c:pt>
                <c:pt idx="11">
                  <c:v>30</c:v>
                </c:pt>
                <c:pt idx="13">
                  <c:v>43</c:v>
                </c:pt>
                <c:pt idx="14">
                  <c:v>10</c:v>
                </c:pt>
                <c:pt idx="15">
                  <c:v>16</c:v>
                </c:pt>
                <c:pt idx="16">
                  <c:v>6</c:v>
                </c:pt>
                <c:pt idx="18">
                  <c:v>43</c:v>
                </c:pt>
                <c:pt idx="19">
                  <c:v>10</c:v>
                </c:pt>
                <c:pt idx="20">
                  <c:v>27</c:v>
                </c:pt>
                <c:pt idx="22">
                  <c:v>29</c:v>
                </c:pt>
                <c:pt idx="23">
                  <c:v>13</c:v>
                </c:pt>
                <c:pt idx="24">
                  <c:v>9</c:v>
                </c:pt>
                <c:pt idx="25">
                  <c:v>7</c:v>
                </c:pt>
                <c:pt idx="27">
                  <c:v>8</c:v>
                </c:pt>
                <c:pt idx="28">
                  <c:v>6</c:v>
                </c:pt>
                <c:pt idx="29">
                  <c:v>1</c:v>
                </c:pt>
                <c:pt idx="30">
                  <c:v>5</c:v>
                </c:pt>
                <c:pt idx="32">
                  <c:v>4</c:v>
                </c:pt>
                <c:pt idx="34">
                  <c:v>1</c:v>
                </c:pt>
                <c:pt idx="3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30-401C-A5B5-ADAA39A91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7187168"/>
        <c:axId val="1392705328"/>
      </c:barChart>
      <c:catAx>
        <c:axId val="5871871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392705328"/>
        <c:crosses val="autoZero"/>
        <c:auto val="1"/>
        <c:lblAlgn val="ctr"/>
        <c:lblOffset val="100"/>
        <c:noMultiLvlLbl val="0"/>
      </c:catAx>
      <c:valAx>
        <c:axId val="1392705328"/>
        <c:scaling>
          <c:orientation val="minMax"/>
          <c:max val="45448"/>
          <c:min val="4536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1D]dd/mmm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87187168"/>
        <c:crosses val="autoZero"/>
        <c:crossBetween val="between"/>
        <c:majorUnit val="7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6349</xdr:colOff>
      <xdr:row>0</xdr:row>
      <xdr:rowOff>0</xdr:rowOff>
    </xdr:from>
    <xdr:to>
      <xdr:col>24</xdr:col>
      <xdr:colOff>455082</xdr:colOff>
      <xdr:row>39</xdr:row>
      <xdr:rowOff>169333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0859F27-914B-E3F1-312E-6A176D2F49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EB4C7-BBB4-409B-B522-A161131FA457}">
  <dimension ref="A1:XER51"/>
  <sheetViews>
    <sheetView tabSelected="1" topLeftCell="A3" zoomScale="145" zoomScaleNormal="145" workbookViewId="0">
      <selection activeCell="F25" sqref="F25"/>
    </sheetView>
  </sheetViews>
  <sheetFormatPr defaultRowHeight="14.5" x14ac:dyDescent="0.35"/>
  <cols>
    <col min="1" max="1" width="42.08984375" customWidth="1"/>
    <col min="2" max="3" width="14.6328125" style="4" customWidth="1"/>
    <col min="4" max="4" width="14.6328125" customWidth="1"/>
    <col min="5" max="5" width="14.6328125" style="2" customWidth="1"/>
    <col min="6" max="7" width="8.7265625" customWidth="1"/>
  </cols>
  <sheetData>
    <row r="1" spans="1:5 16372:16372" s="3" customFormat="1" ht="24" customHeight="1" x14ac:dyDescent="0.35">
      <c r="A1" s="16" t="s">
        <v>6</v>
      </c>
      <c r="B1" s="16"/>
      <c r="C1" s="16"/>
      <c r="D1" s="16"/>
      <c r="E1" s="17"/>
    </row>
    <row r="2" spans="1:5 16372:16372" ht="24" customHeight="1" x14ac:dyDescent="0.35">
      <c r="A2" s="15" t="s">
        <v>0</v>
      </c>
      <c r="B2" s="15" t="s">
        <v>1</v>
      </c>
      <c r="C2" s="15" t="s">
        <v>2</v>
      </c>
      <c r="D2" s="15" t="s">
        <v>4</v>
      </c>
      <c r="E2" s="15" t="s">
        <v>5</v>
      </c>
    </row>
    <row r="3" spans="1:5 16372:16372" x14ac:dyDescent="0.35">
      <c r="A3" s="8" t="s">
        <v>3</v>
      </c>
      <c r="B3" s="9">
        <v>45369</v>
      </c>
      <c r="C3" s="9">
        <v>45432</v>
      </c>
      <c r="D3" s="10">
        <f>C3-B3</f>
        <v>63</v>
      </c>
      <c r="E3" s="11">
        <f>D3/7</f>
        <v>9</v>
      </c>
    </row>
    <row r="4" spans="1:5 16372:16372" x14ac:dyDescent="0.35">
      <c r="A4" t="s">
        <v>8</v>
      </c>
      <c r="B4" s="5">
        <v>45369</v>
      </c>
      <c r="C4" s="5">
        <v>45370</v>
      </c>
      <c r="D4" s="6">
        <f t="shared" ref="D4:D14" si="0">C4-B4</f>
        <v>1</v>
      </c>
      <c r="E4" s="7">
        <f t="shared" ref="E4:E14" si="1">D4/7</f>
        <v>0.14285714285714285</v>
      </c>
    </row>
    <row r="5" spans="1:5 16372:16372" x14ac:dyDescent="0.35">
      <c r="A5" t="s">
        <v>9</v>
      </c>
      <c r="B5" s="5">
        <v>45420</v>
      </c>
      <c r="C5" s="5">
        <v>45432</v>
      </c>
      <c r="D5" s="6">
        <f t="shared" si="0"/>
        <v>12</v>
      </c>
      <c r="E5" s="7">
        <f t="shared" si="1"/>
        <v>1.7142857142857142</v>
      </c>
    </row>
    <row r="6" spans="1:5 16372:16372" x14ac:dyDescent="0.35">
      <c r="A6" t="s">
        <v>10</v>
      </c>
      <c r="B6" s="5">
        <v>45369</v>
      </c>
      <c r="C6" s="5">
        <v>45425</v>
      </c>
      <c r="D6" s="6">
        <f t="shared" si="0"/>
        <v>56</v>
      </c>
      <c r="E6" s="7">
        <f t="shared" si="1"/>
        <v>8</v>
      </c>
      <c r="XER6" s="1"/>
    </row>
    <row r="7" spans="1:5 16372:16372" x14ac:dyDescent="0.35">
      <c r="A7" t="s">
        <v>11</v>
      </c>
      <c r="B7" s="5">
        <v>45369</v>
      </c>
      <c r="C7" s="5">
        <v>45381</v>
      </c>
      <c r="D7" s="6">
        <f t="shared" si="0"/>
        <v>12</v>
      </c>
      <c r="E7" s="7">
        <f t="shared" si="1"/>
        <v>1.7142857142857142</v>
      </c>
    </row>
    <row r="8" spans="1:5 16372:16372" x14ac:dyDescent="0.35">
      <c r="A8" t="s">
        <v>12</v>
      </c>
      <c r="B8" s="5">
        <v>45369</v>
      </c>
      <c r="C8" s="5">
        <v>45381</v>
      </c>
      <c r="D8" s="6">
        <f t="shared" si="0"/>
        <v>12</v>
      </c>
      <c r="E8" s="7">
        <f t="shared" si="1"/>
        <v>1.7142857142857142</v>
      </c>
    </row>
    <row r="9" spans="1:5 16372:16372" x14ac:dyDescent="0.35">
      <c r="A9" t="s">
        <v>13</v>
      </c>
      <c r="B9" s="5">
        <v>45390</v>
      </c>
      <c r="C9" s="5">
        <v>45415</v>
      </c>
      <c r="D9" s="6">
        <f t="shared" si="0"/>
        <v>25</v>
      </c>
      <c r="E9" s="7">
        <f t="shared" si="1"/>
        <v>3.5714285714285716</v>
      </c>
    </row>
    <row r="10" spans="1:5 16372:16372" x14ac:dyDescent="0.35">
      <c r="A10" t="s">
        <v>14</v>
      </c>
      <c r="B10" s="5">
        <v>45392</v>
      </c>
      <c r="C10" s="5">
        <v>45432</v>
      </c>
      <c r="D10" s="6">
        <f t="shared" si="0"/>
        <v>40</v>
      </c>
      <c r="E10" s="7">
        <f t="shared" si="1"/>
        <v>5.7142857142857144</v>
      </c>
    </row>
    <row r="11" spans="1:5 16372:16372" x14ac:dyDescent="0.35">
      <c r="A11" t="s">
        <v>15</v>
      </c>
      <c r="B11" s="5">
        <v>45398</v>
      </c>
      <c r="C11" s="5">
        <v>45432</v>
      </c>
      <c r="D11" s="6">
        <f t="shared" si="0"/>
        <v>34</v>
      </c>
      <c r="E11" s="7">
        <f t="shared" si="1"/>
        <v>4.8571428571428568</v>
      </c>
    </row>
    <row r="12" spans="1:5 16372:16372" x14ac:dyDescent="0.35">
      <c r="A12" t="s">
        <v>16</v>
      </c>
      <c r="B12" s="5">
        <v>45411</v>
      </c>
      <c r="C12" s="5">
        <v>45432</v>
      </c>
      <c r="D12" s="6">
        <f t="shared" si="0"/>
        <v>21</v>
      </c>
      <c r="E12" s="7">
        <f t="shared" si="1"/>
        <v>3</v>
      </c>
    </row>
    <row r="13" spans="1:5 16372:16372" x14ac:dyDescent="0.35">
      <c r="A13" t="s">
        <v>17</v>
      </c>
      <c r="B13" s="5">
        <v>45369</v>
      </c>
      <c r="C13" s="5">
        <v>45432</v>
      </c>
      <c r="D13" s="6">
        <f t="shared" si="0"/>
        <v>63</v>
      </c>
      <c r="E13" s="7">
        <f t="shared" si="1"/>
        <v>9</v>
      </c>
    </row>
    <row r="14" spans="1:5 16372:16372" x14ac:dyDescent="0.35">
      <c r="A14" t="s">
        <v>18</v>
      </c>
      <c r="B14" s="5">
        <v>45402</v>
      </c>
      <c r="C14" s="5">
        <v>45432</v>
      </c>
      <c r="D14" s="6">
        <f t="shared" si="0"/>
        <v>30</v>
      </c>
      <c r="E14" s="7">
        <f t="shared" si="1"/>
        <v>4.2857142857142856</v>
      </c>
    </row>
    <row r="16" spans="1:5 16372:16372" x14ac:dyDescent="0.35">
      <c r="A16" s="8" t="s">
        <v>29</v>
      </c>
      <c r="B16" s="9">
        <v>45376</v>
      </c>
      <c r="C16" s="9">
        <v>45419</v>
      </c>
      <c r="D16" s="10">
        <f>C16-B16</f>
        <v>43</v>
      </c>
      <c r="E16" s="11">
        <f>D16/7</f>
        <v>6.1428571428571432</v>
      </c>
    </row>
    <row r="17" spans="1:5" x14ac:dyDescent="0.35">
      <c r="A17" s="6" t="s">
        <v>20</v>
      </c>
      <c r="B17" s="5">
        <v>45376</v>
      </c>
      <c r="C17" s="5">
        <v>45386</v>
      </c>
      <c r="D17" s="6">
        <f t="shared" ref="D17:D18" si="2">C17-B17</f>
        <v>10</v>
      </c>
      <c r="E17" s="7">
        <f>D17/7</f>
        <v>1.4285714285714286</v>
      </c>
    </row>
    <row r="18" spans="1:5" x14ac:dyDescent="0.35">
      <c r="A18" s="6" t="s">
        <v>26</v>
      </c>
      <c r="B18" s="5">
        <v>45376</v>
      </c>
      <c r="C18" s="5">
        <v>45392</v>
      </c>
      <c r="D18" s="6">
        <f t="shared" si="2"/>
        <v>16</v>
      </c>
      <c r="E18" s="7">
        <f>D18/7</f>
        <v>2.2857142857142856</v>
      </c>
    </row>
    <row r="19" spans="1:5" x14ac:dyDescent="0.35">
      <c r="A19" s="6" t="s">
        <v>28</v>
      </c>
      <c r="B19" s="5">
        <v>45413</v>
      </c>
      <c r="C19" s="5">
        <v>45419</v>
      </c>
      <c r="D19" s="6">
        <f>C19-B19</f>
        <v>6</v>
      </c>
      <c r="E19" s="7">
        <f>D19/7</f>
        <v>0.8571428571428571</v>
      </c>
    </row>
    <row r="20" spans="1:5" x14ac:dyDescent="0.35">
      <c r="A20" s="6"/>
      <c r="B20" s="5"/>
      <c r="C20" s="5"/>
      <c r="D20" s="6"/>
      <c r="E20" s="7"/>
    </row>
    <row r="21" spans="1:5" x14ac:dyDescent="0.35">
      <c r="A21" s="8" t="s">
        <v>30</v>
      </c>
      <c r="B21" s="9">
        <v>45376</v>
      </c>
      <c r="C21" s="9">
        <v>45419</v>
      </c>
      <c r="D21" s="14">
        <f>C21-B21</f>
        <v>43</v>
      </c>
      <c r="E21" s="11">
        <f>D21/7</f>
        <v>6.1428571428571432</v>
      </c>
    </row>
    <row r="22" spans="1:5" x14ac:dyDescent="0.35">
      <c r="A22" s="6" t="s">
        <v>31</v>
      </c>
      <c r="B22" s="5">
        <v>45376</v>
      </c>
      <c r="C22" s="5">
        <v>45386</v>
      </c>
      <c r="D22" s="6">
        <f>C22-B22</f>
        <v>10</v>
      </c>
      <c r="E22" s="7">
        <f>D22/7</f>
        <v>1.4285714285714286</v>
      </c>
    </row>
    <row r="23" spans="1:5" x14ac:dyDescent="0.35">
      <c r="A23" t="s">
        <v>19</v>
      </c>
      <c r="B23" s="5">
        <v>45392</v>
      </c>
      <c r="C23" s="5">
        <v>45419</v>
      </c>
      <c r="D23" s="6">
        <f>C23-B23</f>
        <v>27</v>
      </c>
      <c r="E23" s="7">
        <f>D23/7</f>
        <v>3.8571428571428572</v>
      </c>
    </row>
    <row r="24" spans="1:5" x14ac:dyDescent="0.35">
      <c r="B24" s="5"/>
      <c r="C24" s="5"/>
      <c r="D24" s="6"/>
      <c r="E24" s="7"/>
    </row>
    <row r="25" spans="1:5" x14ac:dyDescent="0.35">
      <c r="A25" s="8" t="s">
        <v>22</v>
      </c>
      <c r="B25" s="9">
        <v>45393</v>
      </c>
      <c r="C25" s="9">
        <v>45422</v>
      </c>
      <c r="D25" s="14">
        <f>C25-B25</f>
        <v>29</v>
      </c>
      <c r="E25" s="11">
        <f>D25/7</f>
        <v>4.1428571428571432</v>
      </c>
    </row>
    <row r="26" spans="1:5" x14ac:dyDescent="0.35">
      <c r="A26" t="s">
        <v>23</v>
      </c>
      <c r="B26" s="5">
        <v>45393</v>
      </c>
      <c r="C26" s="5">
        <v>45406</v>
      </c>
      <c r="D26" s="6">
        <f>C26-B26</f>
        <v>13</v>
      </c>
      <c r="E26" s="7">
        <f>D26/7</f>
        <v>1.8571428571428572</v>
      </c>
    </row>
    <row r="27" spans="1:5" x14ac:dyDescent="0.35">
      <c r="A27" t="s">
        <v>24</v>
      </c>
      <c r="B27" s="5">
        <v>45406</v>
      </c>
      <c r="C27" s="5">
        <v>45415</v>
      </c>
      <c r="D27" s="6">
        <f>C27-B27</f>
        <v>9</v>
      </c>
      <c r="E27" s="7">
        <f>D27/7</f>
        <v>1.2857142857142858</v>
      </c>
    </row>
    <row r="28" spans="1:5" x14ac:dyDescent="0.35">
      <c r="A28" t="s">
        <v>25</v>
      </c>
      <c r="B28" s="5">
        <v>45415</v>
      </c>
      <c r="C28" s="5">
        <v>45422</v>
      </c>
      <c r="D28" s="6">
        <f>C28-B28</f>
        <v>7</v>
      </c>
      <c r="E28" s="7">
        <f>D28/7</f>
        <v>1</v>
      </c>
    </row>
    <row r="29" spans="1:5" x14ac:dyDescent="0.35">
      <c r="B29" s="5"/>
      <c r="C29" s="5"/>
      <c r="D29" s="6"/>
      <c r="E29" s="7"/>
    </row>
    <row r="30" spans="1:5" x14ac:dyDescent="0.35">
      <c r="A30" s="8" t="s">
        <v>27</v>
      </c>
      <c r="B30" s="9">
        <v>45386</v>
      </c>
      <c r="C30" s="9">
        <v>45394</v>
      </c>
      <c r="D30" s="14">
        <f>C30-B30</f>
        <v>8</v>
      </c>
      <c r="E30" s="11">
        <f>D30/7</f>
        <v>1.1428571428571428</v>
      </c>
    </row>
    <row r="31" spans="1:5" x14ac:dyDescent="0.35">
      <c r="A31" t="s">
        <v>32</v>
      </c>
      <c r="B31" s="4">
        <v>45386</v>
      </c>
      <c r="C31" s="4">
        <v>45392</v>
      </c>
      <c r="D31" s="6">
        <f>C31-B31</f>
        <v>6</v>
      </c>
      <c r="E31" s="7">
        <f>D31/7</f>
        <v>0.8571428571428571</v>
      </c>
    </row>
    <row r="32" spans="1:5" x14ac:dyDescent="0.35">
      <c r="A32" t="s">
        <v>33</v>
      </c>
      <c r="B32" s="4">
        <v>45393</v>
      </c>
      <c r="C32" s="4">
        <v>45394</v>
      </c>
      <c r="D32" s="6">
        <f>C32-B32</f>
        <v>1</v>
      </c>
      <c r="E32" s="7">
        <f>D32/7</f>
        <v>0.14285714285714285</v>
      </c>
    </row>
    <row r="33" spans="1:5" x14ac:dyDescent="0.35">
      <c r="A33" t="s">
        <v>34</v>
      </c>
      <c r="B33" s="4">
        <v>45389</v>
      </c>
      <c r="C33" s="4">
        <v>45394</v>
      </c>
      <c r="D33" s="6">
        <f>C33-B33</f>
        <v>5</v>
      </c>
      <c r="E33" s="7">
        <f>D33/7</f>
        <v>0.7142857142857143</v>
      </c>
    </row>
    <row r="35" spans="1:5" x14ac:dyDescent="0.35">
      <c r="A35" s="8" t="s">
        <v>35</v>
      </c>
      <c r="B35" s="9">
        <v>45394</v>
      </c>
      <c r="C35" s="9">
        <v>45398</v>
      </c>
      <c r="D35" s="14">
        <f>C35-B35</f>
        <v>4</v>
      </c>
      <c r="E35" s="11">
        <f>D35/7</f>
        <v>0.5714285714285714</v>
      </c>
    </row>
    <row r="37" spans="1:5" x14ac:dyDescent="0.35">
      <c r="A37" s="12" t="s">
        <v>7</v>
      </c>
      <c r="B37" s="13">
        <v>45442</v>
      </c>
      <c r="C37" s="13">
        <v>45443</v>
      </c>
      <c r="D37" s="14">
        <f>C37-B37</f>
        <v>1</v>
      </c>
      <c r="E37" s="11">
        <f>D37/7</f>
        <v>0.14285714285714285</v>
      </c>
    </row>
    <row r="39" spans="1:5" x14ac:dyDescent="0.35">
      <c r="A39" s="12" t="s">
        <v>21</v>
      </c>
      <c r="B39" s="13">
        <v>45443</v>
      </c>
      <c r="C39" s="13">
        <v>45445</v>
      </c>
      <c r="D39" s="14">
        <f>C39-B39</f>
        <v>2</v>
      </c>
      <c r="E39" s="11">
        <f>D39/7</f>
        <v>0.2857142857142857</v>
      </c>
    </row>
    <row r="41" spans="1:5" x14ac:dyDescent="0.35">
      <c r="E41"/>
    </row>
    <row r="42" spans="1:5" x14ac:dyDescent="0.35">
      <c r="E42"/>
    </row>
    <row r="43" spans="1:5" x14ac:dyDescent="0.35">
      <c r="E43"/>
    </row>
    <row r="44" spans="1:5" x14ac:dyDescent="0.35">
      <c r="E44"/>
    </row>
    <row r="45" spans="1:5" x14ac:dyDescent="0.35">
      <c r="E45"/>
    </row>
    <row r="46" spans="1:5" x14ac:dyDescent="0.35">
      <c r="E46"/>
    </row>
    <row r="47" spans="1:5" x14ac:dyDescent="0.35">
      <c r="E47"/>
    </row>
    <row r="48" spans="1:5" x14ac:dyDescent="0.35">
      <c r="E48"/>
    </row>
    <row r="49" spans="5:5" x14ac:dyDescent="0.35">
      <c r="E49"/>
    </row>
    <row r="50" spans="5:5" x14ac:dyDescent="0.35">
      <c r="E50"/>
    </row>
    <row r="51" spans="5:5" x14ac:dyDescent="0.35">
      <c r="E51"/>
    </row>
  </sheetData>
  <mergeCells count="1"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Sahand Khodabandehloo</dc:creator>
  <cp:lastModifiedBy>Sahand Khodabandehloo</cp:lastModifiedBy>
  <dcterms:created xsi:type="dcterms:W3CDTF">2024-02-16T14:24:22Z</dcterms:created>
  <dcterms:modified xsi:type="dcterms:W3CDTF">2024-04-19T09:28:21Z</dcterms:modified>
</cp:coreProperties>
</file>