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cb03d64890cf78b3/KTH - Dokument/SK1114 HT21-1 Elektromagnetism/"/>
    </mc:Choice>
  </mc:AlternateContent>
  <xr:revisionPtr revIDLastSave="333" documentId="8_{4F4F4DC8-900B-44F0-A825-DA76E3957682}" xr6:coauthVersionLast="47" xr6:coauthVersionMax="47" xr10:uidLastSave="{486103E6-2A5A-0D4A-A36E-3996E32412EA}"/>
  <bookViews>
    <workbookView xWindow="0" yWindow="500" windowWidth="28220" windowHeight="16940" tabRatio="500" xr2:uid="{00000000-000D-0000-FFFF-FFFF00000000}"/>
  </bookViews>
  <sheets>
    <sheet name="parkeringssensor" sheetId="3" r:id="rId1"/>
  </sheets>
  <definedNames>
    <definedName name="_xlchart.v2.0" hidden="1">parkeringssensor!$Q$31:$Q$35</definedName>
    <definedName name="_xlchart.v2.1" hidden="1">parkeringssensor!$R$31:$R$35</definedName>
    <definedName name="_xlchart.v2.2" hidden="1">parkeringssensor!$Q$31:$Q$35</definedName>
    <definedName name="_xlchart.v2.3" hidden="1">parkeringssensor!$R$31:$R$35</definedName>
    <definedName name="_xlchart.v2.4" hidden="1">parkeringssensor!$Q$31:$Q$35</definedName>
    <definedName name="_xlchart.v2.5" hidden="1">parkeringssensor!$R$31:$R$35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9" i="3" l="1"/>
  <c r="P10" i="3"/>
  <c r="P11" i="3"/>
  <c r="P12" i="3"/>
  <c r="W17" i="3"/>
  <c r="W18" i="3"/>
  <c r="W19" i="3"/>
  <c r="W20" i="3"/>
  <c r="W16" i="3"/>
  <c r="I8" i="3"/>
  <c r="W9" i="3"/>
  <c r="W10" i="3"/>
  <c r="W11" i="3"/>
  <c r="W12" i="3"/>
  <c r="W8" i="3"/>
  <c r="V12" i="3"/>
  <c r="V11" i="3"/>
  <c r="V10" i="3"/>
  <c r="V9" i="3"/>
  <c r="L8" i="3"/>
  <c r="AC8" i="3" s="1"/>
  <c r="V8" i="3"/>
  <c r="K8" i="3"/>
  <c r="AB8" i="3" s="1"/>
  <c r="AA9" i="3"/>
  <c r="AA10" i="3"/>
  <c r="AA11" i="3"/>
  <c r="AA12" i="3"/>
  <c r="AA8" i="3"/>
  <c r="AB9" i="3"/>
  <c r="AB10" i="3"/>
  <c r="AB11" i="3"/>
  <c r="AB12" i="3"/>
  <c r="AC9" i="3"/>
  <c r="AC10" i="3"/>
  <c r="AC11" i="3"/>
  <c r="AC12" i="3"/>
  <c r="Q8" i="3"/>
  <c r="P8" i="3"/>
  <c r="I9" i="3"/>
  <c r="I10" i="3"/>
  <c r="I11" i="3"/>
  <c r="I12" i="3"/>
  <c r="K20" i="3"/>
  <c r="K9" i="3"/>
  <c r="Q9" i="3"/>
  <c r="L9" i="3"/>
  <c r="R9" i="3"/>
  <c r="K10" i="3"/>
  <c r="Q10" i="3"/>
  <c r="L10" i="3"/>
  <c r="R10" i="3"/>
  <c r="K11" i="3"/>
  <c r="Q11" i="3"/>
  <c r="L11" i="3"/>
  <c r="R11" i="3"/>
  <c r="K12" i="3"/>
  <c r="Q12" i="3"/>
  <c r="L12" i="3"/>
  <c r="R12" i="3"/>
  <c r="J9" i="3"/>
  <c r="J10" i="3"/>
  <c r="J11" i="3"/>
  <c r="J12" i="3"/>
  <c r="J8" i="3"/>
  <c r="M28" i="3"/>
  <c r="M27" i="3"/>
  <c r="M26" i="3"/>
  <c r="M25" i="3"/>
  <c r="M24" i="3"/>
  <c r="K19" i="3"/>
  <c r="M19" i="3"/>
  <c r="L21" i="3"/>
  <c r="K24" i="3" a="1"/>
  <c r="K26" i="3" s="1"/>
  <c r="L28" i="3"/>
  <c r="L26" i="3"/>
  <c r="K27" i="3"/>
  <c r="K28" i="3"/>
  <c r="K24" i="3"/>
  <c r="L27" i="3"/>
  <c r="L24" i="3" l="1"/>
  <c r="L25" i="3"/>
  <c r="K25" i="3"/>
  <c r="R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Currell</author>
  </authors>
  <commentList>
    <comment ref="K19" authorId="0" shapeId="0" xr:uid="{00000000-0006-0000-0000-000001000000}">
      <text>
        <r>
          <rPr>
            <sz val="11"/>
            <color indexed="81"/>
            <rFont val="Tahoma"/>
            <family val="2"/>
          </rPr>
          <t>=SLOPE(C8:C15,B8:B15)</t>
        </r>
      </text>
    </comment>
    <comment ref="M19" authorId="0" shapeId="0" xr:uid="{00000000-0006-0000-0000-000002000000}">
      <text>
        <r>
          <rPr>
            <sz val="11"/>
            <color indexed="81"/>
            <rFont val="Tahoma"/>
            <family val="2"/>
          </rPr>
          <t>=LINEST(C8:C15,B8:B15,FALSE)</t>
        </r>
      </text>
    </comment>
    <comment ref="K20" authorId="0" shapeId="0" xr:uid="{00000000-0006-0000-0000-000003000000}">
      <text>
        <r>
          <rPr>
            <sz val="11"/>
            <color indexed="81"/>
            <rFont val="Tahoma"/>
            <family val="2"/>
          </rPr>
          <t>=INTERCEPT(C8:C15,B8:B15)</t>
        </r>
      </text>
    </comment>
    <comment ref="L21" authorId="0" shapeId="0" xr:uid="{00000000-0006-0000-0000-000004000000}">
      <text>
        <r>
          <rPr>
            <sz val="11"/>
            <color rgb="FF000000"/>
            <rFont val="Tahoma"/>
            <family val="2"/>
          </rPr>
          <t>=STEYX(C8:C15,B8:B15)</t>
        </r>
      </text>
    </comment>
    <comment ref="K24" authorId="0" shapeId="0" xr:uid="{00000000-0006-0000-0000-000005000000}">
      <text>
        <r>
          <rPr>
            <sz val="11"/>
            <color indexed="81"/>
            <rFont val="Tahoma"/>
            <family val="2"/>
          </rPr>
          <t>=LINEST(C8:C15,B8:B15,TRUE,TRUE)</t>
        </r>
      </text>
    </comment>
    <comment ref="L24" authorId="0" shapeId="0" xr:uid="{00000000-0006-0000-0000-000006000000}">
      <text>
        <r>
          <rPr>
            <sz val="11"/>
            <color rgb="FF000000"/>
            <rFont val="Tahoma"/>
            <family val="2"/>
          </rPr>
          <t>=LINEST(C8:C15,B8:B15,TRUE,TRUE)</t>
        </r>
      </text>
    </comment>
    <comment ref="K25" authorId="0" shapeId="0" xr:uid="{00000000-0006-0000-0000-000007000000}">
      <text>
        <r>
          <rPr>
            <sz val="11"/>
            <color indexed="81"/>
            <rFont val="Tahoma"/>
            <family val="2"/>
          </rPr>
          <t>=LINEST(C8:C15,B8:B15,TRUE,TRUE)</t>
        </r>
      </text>
    </comment>
    <comment ref="L25" authorId="0" shapeId="0" xr:uid="{00000000-0006-0000-0000-000008000000}">
      <text>
        <r>
          <rPr>
            <sz val="11"/>
            <color indexed="81"/>
            <rFont val="Tahoma"/>
            <family val="2"/>
          </rPr>
          <t>=LINEST(C8:C15,B8:B15,TRUE,TRUE)</t>
        </r>
      </text>
    </comment>
    <comment ref="K26" authorId="0" shapeId="0" xr:uid="{00000000-0006-0000-0000-000009000000}">
      <text>
        <r>
          <rPr>
            <sz val="11"/>
            <color indexed="81"/>
            <rFont val="Tahoma"/>
            <family val="2"/>
          </rPr>
          <t>=LINEST(C8:C15,B8:B15,TRUE,TRUE)</t>
        </r>
      </text>
    </comment>
    <comment ref="L26" authorId="0" shapeId="0" xr:uid="{00000000-0006-0000-0000-00000A000000}">
      <text>
        <r>
          <rPr>
            <sz val="11"/>
            <color rgb="FF000000"/>
            <rFont val="Tahoma"/>
            <family val="2"/>
          </rPr>
          <t>=LINEST(C8:C15,B8:B15,TRUE,TRUE)</t>
        </r>
      </text>
    </comment>
    <comment ref="K27" authorId="0" shapeId="0" xr:uid="{00000000-0006-0000-0000-00000B000000}">
      <text>
        <r>
          <rPr>
            <sz val="11"/>
            <color indexed="81"/>
            <rFont val="Tahoma"/>
            <family val="2"/>
          </rPr>
          <t>=LINEST(C8:C15,B8:B15,TRUE,TRUE)</t>
        </r>
      </text>
    </comment>
    <comment ref="L27" authorId="0" shapeId="0" xr:uid="{00000000-0006-0000-0000-00000C000000}">
      <text>
        <r>
          <rPr>
            <sz val="11"/>
            <color rgb="FF000000"/>
            <rFont val="Tahoma"/>
            <family val="2"/>
          </rPr>
          <t>=LINEST(C8:C15,B8:B15,TRUE,TRUE)</t>
        </r>
      </text>
    </comment>
    <comment ref="K28" authorId="0" shapeId="0" xr:uid="{00000000-0006-0000-0000-00000D000000}">
      <text>
        <r>
          <rPr>
            <sz val="11"/>
            <color indexed="81"/>
            <rFont val="Tahoma"/>
            <family val="2"/>
          </rPr>
          <t>=LINEST(C8:C15,B8:B15,TRUE,TRUE)</t>
        </r>
      </text>
    </comment>
    <comment ref="L28" authorId="0" shapeId="0" xr:uid="{00000000-0006-0000-0000-00000E000000}">
      <text>
        <r>
          <rPr>
            <sz val="11"/>
            <color indexed="81"/>
            <rFont val="Tahoma"/>
            <family val="2"/>
          </rPr>
          <t>=LINEST(C8:C15,B8:B15,TRUE,TRUE)</t>
        </r>
      </text>
    </comment>
  </commentList>
</comments>
</file>

<file path=xl/sharedStrings.xml><?xml version="1.0" encoding="utf-8"?>
<sst xmlns="http://schemas.openxmlformats.org/spreadsheetml/2006/main" count="60" uniqueCount="38">
  <si>
    <t>Linjär anpassning</t>
  </si>
  <si>
    <t xml:space="preserve">Lutning = </t>
  </si>
  <si>
    <t>Skärningspunkt =</t>
  </si>
  <si>
    <t>Linjär anpassning genom origo</t>
  </si>
  <si>
    <t>Linjär anpassning med statistik: skriv in samma uttryck i alla rutor, markera alla rutor, tryck F2 eller CTRL+u, tryck CTRL+SHIFT+ENTER</t>
  </si>
  <si>
    <t>Standardfel i experimentella data =</t>
  </si>
  <si>
    <t xml:space="preserve">Standardfel i lutning = </t>
  </si>
  <si>
    <t xml:space="preserve">R2-värde = </t>
  </si>
  <si>
    <t xml:space="preserve">F-test = </t>
  </si>
  <si>
    <t>Totala kvadratsumman = regressionskvadratsumman + residualkvadratsumman</t>
  </si>
  <si>
    <t xml:space="preserve">Regressionskvadratsumman = </t>
  </si>
  <si>
    <t xml:space="preserve"> (förklarat av anpassningen)</t>
  </si>
  <si>
    <t>Avstånd [m]</t>
  </si>
  <si>
    <t>Mätserie 1</t>
  </si>
  <si>
    <t>Mätserie 2</t>
  </si>
  <si>
    <t>Mätserie 3</t>
  </si>
  <si>
    <t>Linjär anpassning av mätdata från parkeringssensor</t>
  </si>
  <si>
    <t>Medelvärden</t>
  </si>
  <si>
    <t>Mätfel</t>
  </si>
  <si>
    <t>Standardfel</t>
  </si>
  <si>
    <t>Avläsningsfel</t>
  </si>
  <si>
    <t>Tid [ms]</t>
  </si>
  <si>
    <t>Amplitud [mV]</t>
  </si>
  <si>
    <t>Graf över tiden det tar för vågen att färdas ett visst avstånd</t>
  </si>
  <si>
    <t>Lägg till liknande graf och linjär anpassning själva för vågamplitudens avståndsberoende</t>
  </si>
  <si>
    <t>Linjära anpassningar med avstånd som x-data och tid som y-data</t>
  </si>
  <si>
    <t>Standard deviation</t>
  </si>
  <si>
    <t>Reading error</t>
  </si>
  <si>
    <t>Measurement error</t>
  </si>
  <si>
    <t>Time [ms]</t>
  </si>
  <si>
    <t>Amplitude [mV]</t>
  </si>
  <si>
    <t>Distance [m]</t>
  </si>
  <si>
    <t>Δm</t>
  </si>
  <si>
    <t>3.5</t>
  </si>
  <si>
    <t>4.1</t>
  </si>
  <si>
    <t>4.6</t>
  </si>
  <si>
    <t>5.2</t>
  </si>
  <si>
    <t>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</si>
</sst>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2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0" xfId="1" applyFont="1" applyAlignment="1">
      <alignment horizontal="left"/>
    </xf>
    <xf numFmtId="0" fontId="2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2" fillId="2" borderId="1" xfId="1" applyFill="1" applyBorder="1" applyAlignment="1">
      <alignment horizontal="center"/>
    </xf>
    <xf numFmtId="0" fontId="2" fillId="0" borderId="0" xfId="1"/>
    <xf numFmtId="0" fontId="2" fillId="0" borderId="0" xfId="1" applyFill="1" applyBorder="1" applyAlignment="1">
      <alignment horizontal="center"/>
    </xf>
    <xf numFmtId="0" fontId="2" fillId="0" borderId="0" xfId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right"/>
    </xf>
    <xf numFmtId="0" fontId="7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Border="1" applyAlignment="1">
      <alignment horizontal="center"/>
    </xf>
    <xf numFmtId="0" fontId="7" fillId="0" borderId="0" xfId="1" applyFont="1" applyBorder="1" applyAlignment="1">
      <alignment horizontal="right"/>
    </xf>
    <xf numFmtId="1" fontId="2" fillId="0" borderId="0" xfId="1" applyNumberForma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1" applyAlignment="1">
      <alignment horizontal="left"/>
    </xf>
    <xf numFmtId="2" fontId="2" fillId="2" borderId="1" xfId="1" applyNumberFormat="1" applyFill="1" applyBorder="1" applyAlignment="1">
      <alignment horizontal="center"/>
    </xf>
    <xf numFmtId="0" fontId="2" fillId="2" borderId="1" xfId="1" applyNumberFormat="1" applyFill="1" applyBorder="1" applyAlignment="1">
      <alignment horizontal="center"/>
    </xf>
    <xf numFmtId="164" fontId="2" fillId="2" borderId="1" xfId="1" applyNumberFormat="1" applyFill="1" applyBorder="1" applyAlignment="1">
      <alignment horizontal="center"/>
    </xf>
    <xf numFmtId="0" fontId="9" fillId="0" borderId="0" xfId="1" applyFont="1" applyAlignment="1">
      <alignment horizontal="left"/>
    </xf>
    <xf numFmtId="165" fontId="2" fillId="2" borderId="1" xfId="1" applyNumberFormat="1" applyFill="1" applyBorder="1" applyAlignment="1">
      <alignment horizontal="center"/>
    </xf>
    <xf numFmtId="166" fontId="2" fillId="2" borderId="1" xfId="1" applyNumberFormat="1" applyFill="1" applyBorder="1" applyAlignment="1">
      <alignment horizontal="center"/>
    </xf>
    <xf numFmtId="0" fontId="10" fillId="0" borderId="0" xfId="0" applyFont="1" applyAlignment="1">
      <alignment horizontal="center"/>
    </xf>
  </cellXfs>
  <cellStyles count="142">
    <cellStyle name="Följd hyperlänk" xfId="49" builtinId="9" hidden="1"/>
    <cellStyle name="Följd hyperlänk" xfId="37" builtinId="9" hidden="1"/>
    <cellStyle name="Följd hyperlänk" xfId="27" builtinId="9" hidden="1"/>
    <cellStyle name="Följd hyperlänk" xfId="63" builtinId="9" hidden="1"/>
    <cellStyle name="Följd hyperlänk" xfId="79" builtinId="9" hidden="1"/>
    <cellStyle name="Följd hyperlänk" xfId="95" builtinId="9" hidden="1"/>
    <cellStyle name="Följd hyperlänk" xfId="111" builtinId="9" hidden="1"/>
    <cellStyle name="Följd hyperlänk" xfId="105" builtinId="9" hidden="1"/>
    <cellStyle name="Följd hyperlänk" xfId="113" builtinId="9" hidden="1"/>
    <cellStyle name="Följd hyperlänk" xfId="125" builtinId="9" hidden="1"/>
    <cellStyle name="Följd hyperlänk" xfId="137" builtinId="9" hidden="1"/>
    <cellStyle name="Följd hyperlänk" xfId="139" builtinId="9" hidden="1"/>
    <cellStyle name="Följd hyperlänk" xfId="127" builtinId="9" hidden="1"/>
    <cellStyle name="Följd hyperlänk" xfId="115" builtinId="9" hidden="1"/>
    <cellStyle name="Följd hyperlänk" xfId="135" builtinId="9" hidden="1"/>
    <cellStyle name="Följd hyperlänk" xfId="117" builtinId="9" hidden="1"/>
    <cellStyle name="Följd hyperlänk" xfId="77" builtinId="9" hidden="1"/>
    <cellStyle name="Följd hyperlänk" xfId="85" builtinId="9" hidden="1"/>
    <cellStyle name="Följd hyperlänk" xfId="93" builtinId="9" hidden="1"/>
    <cellStyle name="Följd hyperlänk" xfId="73" builtinId="9" hidden="1"/>
    <cellStyle name="Följd hyperlänk" xfId="61" builtinId="9" hidden="1"/>
    <cellStyle name="Följd hyperlänk" xfId="69" builtinId="9" hidden="1"/>
    <cellStyle name="Följd hyperlänk" xfId="65" builtinId="9" hidden="1"/>
    <cellStyle name="Följd hyperlänk" xfId="89" builtinId="9" hidden="1"/>
    <cellStyle name="Följd hyperlänk" xfId="81" builtinId="9" hidden="1"/>
    <cellStyle name="Följd hyperlänk" xfId="101" builtinId="9" hidden="1"/>
    <cellStyle name="Följd hyperlänk" xfId="133" builtinId="9" hidden="1"/>
    <cellStyle name="Följd hyperlänk" xfId="119" builtinId="9" hidden="1"/>
    <cellStyle name="Följd hyperlänk" xfId="123" builtinId="9" hidden="1"/>
    <cellStyle name="Följd hyperlänk" xfId="131" builtinId="9" hidden="1"/>
    <cellStyle name="Följd hyperlänk" xfId="141" builtinId="9" hidden="1"/>
    <cellStyle name="Följd hyperlänk" xfId="129" builtinId="9" hidden="1"/>
    <cellStyle name="Följd hyperlänk" xfId="121" builtinId="9" hidden="1"/>
    <cellStyle name="Följd hyperlänk" xfId="109" builtinId="9" hidden="1"/>
    <cellStyle name="Följd hyperlänk" xfId="97" builtinId="9" hidden="1"/>
    <cellStyle name="Följd hyperlänk" xfId="103" builtinId="9" hidden="1"/>
    <cellStyle name="Följd hyperlänk" xfId="87" builtinId="9" hidden="1"/>
    <cellStyle name="Följd hyperlänk" xfId="71" builtinId="9" hidden="1"/>
    <cellStyle name="Följd hyperlänk" xfId="21" builtinId="9" hidden="1"/>
    <cellStyle name="Följd hyperlänk" xfId="33" builtinId="9" hidden="1"/>
    <cellStyle name="Följd hyperlänk" xfId="43" builtinId="9" hidden="1"/>
    <cellStyle name="Följd hyperlänk" xfId="53" builtinId="9" hidden="1"/>
    <cellStyle name="Följd hyperlänk" xfId="35" builtinId="9" hidden="1"/>
    <cellStyle name="Följd hyperlänk" xfId="45" builtinId="9" hidden="1"/>
    <cellStyle name="Följd hyperlänk" xfId="51" builtinId="9" hidden="1"/>
    <cellStyle name="Följd hyperlänk" xfId="57" builtinId="9" hidden="1"/>
    <cellStyle name="Följd hyperlänk" xfId="31" builtinId="9" hidden="1"/>
    <cellStyle name="Följd hyperlänk" xfId="11" builtinId="9" hidden="1"/>
    <cellStyle name="Följd hyperlänk" xfId="15" builtinId="9" hidden="1"/>
    <cellStyle name="Följd hyperlänk" xfId="9" builtinId="9" hidden="1"/>
    <cellStyle name="Följd hyperlänk" xfId="3" builtinId="9" hidden="1"/>
    <cellStyle name="Följd hyperlänk" xfId="7" builtinId="9" hidden="1"/>
    <cellStyle name="Följd hyperlänk" xfId="17" builtinId="9" hidden="1"/>
    <cellStyle name="Följd hyperlänk" xfId="13" builtinId="9" hidden="1"/>
    <cellStyle name="Följd hyperlänk" xfId="23" builtinId="9" hidden="1"/>
    <cellStyle name="Följd hyperlänk" xfId="55" builtinId="9" hidden="1"/>
    <cellStyle name="Följd hyperlänk" xfId="39" builtinId="9" hidden="1"/>
    <cellStyle name="Följd hyperlänk" xfId="5" builtinId="9" hidden="1"/>
    <cellStyle name="Följd hyperlänk" xfId="19" builtinId="9" hidden="1"/>
    <cellStyle name="Följd hyperlänk" xfId="47" builtinId="9" hidden="1"/>
    <cellStyle name="Följd hyperlänk" xfId="41" builtinId="9" hidden="1"/>
    <cellStyle name="Följd hyperlänk" xfId="75" builtinId="9" hidden="1"/>
    <cellStyle name="Följd hyperlänk" xfId="67" builtinId="9" hidden="1"/>
    <cellStyle name="Följd hyperlänk" xfId="59" builtinId="9" hidden="1"/>
    <cellStyle name="Följd hyperlänk" xfId="25" builtinId="9" hidden="1"/>
    <cellStyle name="Följd hyperlänk" xfId="29" builtinId="9" hidden="1"/>
    <cellStyle name="Följd hyperlänk" xfId="99" builtinId="9" hidden="1"/>
    <cellStyle name="Följd hyperlänk" xfId="83" builtinId="9" hidden="1"/>
    <cellStyle name="Följd hyperlänk" xfId="91" builtinId="9" hidden="1"/>
    <cellStyle name="Följd hyperlänk" xfId="107" builtinId="9" hidden="1"/>
    <cellStyle name="Hyperlänk" xfId="52" builtinId="8" hidden="1"/>
    <cellStyle name="Hyperlänk" xfId="44" builtinId="8" hidden="1"/>
    <cellStyle name="Hyperlänk" xfId="80" builtinId="8" hidden="1"/>
    <cellStyle name="Hyperlänk" xfId="106" builtinId="8" hidden="1"/>
    <cellStyle name="Hyperlänk" xfId="108" builtinId="8" hidden="1"/>
    <cellStyle name="Hyperlänk" xfId="114" builtinId="8" hidden="1"/>
    <cellStyle name="Hyperlänk" xfId="116" builtinId="8" hidden="1"/>
    <cellStyle name="Hyperlänk" xfId="122" builtinId="8" hidden="1"/>
    <cellStyle name="Hyperlänk" xfId="126" builtinId="8" hidden="1"/>
    <cellStyle name="Hyperlänk" xfId="130" builtinId="8" hidden="1"/>
    <cellStyle name="Hyperlänk" xfId="132" builtinId="8" hidden="1"/>
    <cellStyle name="Hyperlänk" xfId="138" builtinId="8" hidden="1"/>
    <cellStyle name="Hyperlänk" xfId="136" builtinId="8" hidden="1"/>
    <cellStyle name="Hyperlänk" xfId="128" builtinId="8" hidden="1"/>
    <cellStyle name="Hyperlänk" xfId="112" builtinId="8" hidden="1"/>
    <cellStyle name="Hyperlänk" xfId="104" builtinId="8" hidden="1"/>
    <cellStyle name="Hyperlänk" xfId="140" builtinId="8" hidden="1"/>
    <cellStyle name="Hyperlänk" xfId="84" builtinId="8" hidden="1"/>
    <cellStyle name="Hyperlänk" xfId="86" builtinId="8" hidden="1"/>
    <cellStyle name="Hyperlänk" xfId="90" builtinId="8" hidden="1"/>
    <cellStyle name="Hyperlänk" xfId="94" builtinId="8" hidden="1"/>
    <cellStyle name="Hyperlänk" xfId="100" builtinId="8" hidden="1"/>
    <cellStyle name="Hyperlänk" xfId="102" builtinId="8" hidden="1"/>
    <cellStyle name="Hyperlänk" xfId="76" builtinId="8" hidden="1"/>
    <cellStyle name="Hyperlänk" xfId="78" builtinId="8" hidden="1"/>
    <cellStyle name="Hyperlänk" xfId="82" builtinId="8" hidden="1"/>
    <cellStyle name="Hyperlänk" xfId="74" builtinId="8" hidden="1"/>
    <cellStyle name="Hyperlänk" xfId="68" builtinId="8" hidden="1"/>
    <cellStyle name="Hyperlänk" xfId="70" builtinId="8" hidden="1"/>
    <cellStyle name="Hyperlänk" xfId="98" builtinId="8" hidden="1"/>
    <cellStyle name="Hyperlänk" xfId="92" builtinId="8" hidden="1"/>
    <cellStyle name="Hyperlänk" xfId="118" builtinId="8" hidden="1"/>
    <cellStyle name="Hyperlänk" xfId="120" builtinId="8" hidden="1"/>
    <cellStyle name="Hyperlänk" xfId="134" builtinId="8" hidden="1"/>
    <cellStyle name="Hyperlänk" xfId="124" builtinId="8" hidden="1"/>
    <cellStyle name="Hyperlänk" xfId="110" builtinId="8" hidden="1"/>
    <cellStyle name="Hyperlänk" xfId="34" builtinId="8" hidden="1"/>
    <cellStyle name="Hyperlänk" xfId="64" builtinId="8" hidden="1"/>
    <cellStyle name="Hyperlänk" xfId="66" builtinId="8" hidden="1"/>
    <cellStyle name="Hyperlänk" xfId="56" builtinId="8" hidden="1"/>
    <cellStyle name="Hyperlänk" xfId="14" builtinId="8" hidden="1"/>
    <cellStyle name="Hyperlänk" xfId="16" builtinId="8" hidden="1"/>
    <cellStyle name="Hyperlänk" xfId="22" builtinId="8" hidden="1"/>
    <cellStyle name="Hyperlänk" xfId="26" builtinId="8" hidden="1"/>
    <cellStyle name="Hyperlänk" xfId="28" builtinId="8" hidden="1"/>
    <cellStyle name="Hyperlänk" xfId="8" builtinId="8" hidden="1"/>
    <cellStyle name="Hyperlänk" xfId="10" builtinId="8" hidden="1"/>
    <cellStyle name="Hyperlänk" xfId="12" builtinId="8" hidden="1"/>
    <cellStyle name="Hyperlänk" xfId="6" builtinId="8" hidden="1"/>
    <cellStyle name="Hyperlänk" xfId="4" builtinId="8" hidden="1"/>
    <cellStyle name="Hyperlänk" xfId="24" builtinId="8" hidden="1"/>
    <cellStyle name="Hyperlänk" xfId="20" builtinId="8" hidden="1"/>
    <cellStyle name="Hyperlänk" xfId="40" builtinId="8" hidden="1"/>
    <cellStyle name="Hyperlänk" xfId="62" builtinId="8" hidden="1"/>
    <cellStyle name="Hyperlänk" xfId="2" builtinId="8" hidden="1"/>
    <cellStyle name="Hyperlänk" xfId="18" builtinId="8" hidden="1"/>
    <cellStyle name="Hyperlänk" xfId="38" builtinId="8" hidden="1"/>
    <cellStyle name="Hyperlänk" xfId="42" builtinId="8" hidden="1"/>
    <cellStyle name="Hyperlänk" xfId="46" builtinId="8" hidden="1"/>
    <cellStyle name="Hyperlänk" xfId="48" builtinId="8" hidden="1"/>
    <cellStyle name="Hyperlänk" xfId="50" builtinId="8" hidden="1"/>
    <cellStyle name="Hyperlänk" xfId="58" builtinId="8" hidden="1"/>
    <cellStyle name="Hyperlänk" xfId="60" builtinId="8" hidden="1"/>
    <cellStyle name="Hyperlänk" xfId="54" builtinId="8" hidden="1"/>
    <cellStyle name="Hyperlänk" xfId="30" builtinId="8" hidden="1"/>
    <cellStyle name="Hyperlänk" xfId="32" builtinId="8" hidden="1"/>
    <cellStyle name="Hyperlänk" xfId="36" builtinId="8" hidden="1"/>
    <cellStyle name="Hyperlänk" xfId="88" builtinId="8" hidden="1"/>
    <cellStyle name="Hyperlänk" xfId="72" builtinId="8" hidden="1"/>
    <cellStyle name="Hyperlänk" xfId="96" builtinId="8" hidden="1"/>
    <cellStyle name="Normal" xfId="0" builtinId="0"/>
    <cellStyle name="Normal 2" xfId="1" xr:uid="{00000000-0005-0000-0000-00008D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GB" sz="1400" b="0" i="0"/>
              <a:t>Tiden det tar för vågen att färdas ett visst avstånd</a:t>
            </a:r>
            <a:endParaRPr lang="en-GB" sz="1400" b="0"/>
          </a:p>
        </c:rich>
      </c:tx>
      <c:layout>
        <c:manualLayout>
          <c:xMode val="edge"/>
          <c:yMode val="edge"/>
          <c:x val="0.21778980805883399"/>
          <c:y val="3.14239981624903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4516185476816"/>
          <c:y val="0.125474628171479"/>
          <c:w val="0.79381014873140698"/>
          <c:h val="0.6954239574219890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</c:spPr>
          </c:marker>
          <c:trendline>
            <c:trendlineType val="linear"/>
            <c:backward val="1"/>
            <c:dispRSqr val="1"/>
            <c:dispEq val="1"/>
            <c:trendlineLbl>
              <c:layout>
                <c:manualLayout>
                  <c:x val="-0.344193596827291"/>
                  <c:y val="0.14805967234609399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parkeringssensor!$Q$8:$Q$12</c:f>
                <c:numCache>
                  <c:formatCode>General</c:formatCode>
                  <c:ptCount val="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</c:numCache>
              </c:numRef>
            </c:plus>
            <c:minus>
              <c:numRef>
                <c:f>parkeringssensor!$Q$8:$Q$12</c:f>
                <c:numCache>
                  <c:formatCode>General</c:formatCode>
                  <c:ptCount val="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parkeringssensor!$P$8:$P$12</c:f>
                <c:numCache>
                  <c:formatCode>General</c:formatCode>
                  <c:ptCount val="5"/>
                  <c:pt idx="0">
                    <c:v>5.0000000000000001E-4</c:v>
                  </c:pt>
                  <c:pt idx="1">
                    <c:v>5.0000000000000001E-4</c:v>
                  </c:pt>
                  <c:pt idx="2">
                    <c:v>5.0000000000000001E-4</c:v>
                  </c:pt>
                  <c:pt idx="3">
                    <c:v>5.0000000000000001E-4</c:v>
                  </c:pt>
                  <c:pt idx="4">
                    <c:v>5.0000000000000001E-4</c:v>
                  </c:pt>
                </c:numCache>
              </c:numRef>
            </c:plus>
            <c:minus>
              <c:numRef>
                <c:f>parkeringssensor!$P$8:$P$12</c:f>
                <c:numCache>
                  <c:formatCode>General</c:formatCode>
                  <c:ptCount val="5"/>
                  <c:pt idx="0">
                    <c:v>5.0000000000000001E-4</c:v>
                  </c:pt>
                  <c:pt idx="1">
                    <c:v>5.0000000000000001E-4</c:v>
                  </c:pt>
                  <c:pt idx="2">
                    <c:v>5.0000000000000001E-4</c:v>
                  </c:pt>
                  <c:pt idx="3">
                    <c:v>5.0000000000000001E-4</c:v>
                  </c:pt>
                  <c:pt idx="4">
                    <c:v>5.0000000000000001E-4</c:v>
                  </c:pt>
                </c:numCache>
              </c:numRef>
            </c:minus>
          </c:errBars>
          <c:xVal>
            <c:numRef>
              <c:f>parkeringssensor!$B$8:$B$12</c:f>
              <c:numCache>
                <c:formatCode>0.00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</c:numCache>
            </c:numRef>
          </c:xVal>
          <c:yVal>
            <c:numRef>
              <c:f>parkeringssensor!$I$8:$I$12</c:f>
              <c:numCache>
                <c:formatCode>0.000</c:formatCode>
                <c:ptCount val="5"/>
                <c:pt idx="0">
                  <c:v>3.5</c:v>
                </c:pt>
                <c:pt idx="1">
                  <c:v>4.0999999999999996</c:v>
                </c:pt>
                <c:pt idx="2">
                  <c:v>4.5999999999999996</c:v>
                </c:pt>
                <c:pt idx="3">
                  <c:v>5.2</c:v>
                </c:pt>
                <c:pt idx="4">
                  <c:v>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C3-4DEF-9E78-480BADC61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31136"/>
        <c:axId val="171933056"/>
      </c:scatterChart>
      <c:valAx>
        <c:axId val="171931136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 sz="1200"/>
                  <a:t>avstånd </a:t>
                </a:r>
                <a:r>
                  <a:rPr lang="en-GB" sz="1200" i="0"/>
                  <a:t>/</a:t>
                </a:r>
                <a:r>
                  <a:rPr lang="en-GB" sz="1200" i="0" baseline="0"/>
                  <a:t> m</a:t>
                </a:r>
                <a:endParaRPr lang="en-GB" sz="1200" i="0"/>
              </a:p>
            </c:rich>
          </c:tx>
          <c:layout>
            <c:manualLayout>
              <c:xMode val="edge"/>
              <c:yMode val="edge"/>
              <c:x val="0.83372681539807802"/>
              <c:y val="0.920347039953339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171933056"/>
        <c:crosses val="autoZero"/>
        <c:crossBetween val="midCat"/>
      </c:valAx>
      <c:valAx>
        <c:axId val="1719330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GB" sz="1200"/>
                  <a:t>tid </a:t>
                </a:r>
                <a:r>
                  <a:rPr lang="en-GB" sz="1200" i="0"/>
                  <a:t>/ ms</a:t>
                </a:r>
              </a:p>
            </c:rich>
          </c:tx>
          <c:layout>
            <c:manualLayout>
              <c:xMode val="edge"/>
              <c:yMode val="edge"/>
              <c:x val="1.0601775022620901E-2"/>
              <c:y val="0.1396450067302260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171931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i="1"/>
      </a:pPr>
      <a:endParaRPr lang="sv-SE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Förändring av amplitud med avseende på tid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516185476816"/>
          <c:y val="0.125474628171479"/>
          <c:w val="0.79381014873140698"/>
          <c:h val="0.6954239574219890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</c:spPr>
          </c:marker>
          <c:trendline>
            <c:trendlineType val="linear"/>
            <c:backward val="1"/>
            <c:dispRSqr val="1"/>
            <c:dispEq val="1"/>
            <c:trendlineLbl>
              <c:layout>
                <c:manualLayout>
                  <c:x val="7.0070948728687174E-2"/>
                  <c:y val="-0.19059722947181873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parkeringssensor!$Q$8:$Q$12</c:f>
                <c:numCache>
                  <c:formatCode>General</c:formatCode>
                  <c:ptCount val="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</c:numCache>
              </c:numRef>
            </c:plus>
            <c:minus>
              <c:numRef>
                <c:f>parkeringssensor!$Q$8:$Q$12</c:f>
                <c:numCache>
                  <c:formatCode>General</c:formatCode>
                  <c:ptCount val="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</c:numCache>
              </c:numRef>
            </c:minus>
          </c:errBars>
          <c:xVal>
            <c:numRef>
              <c:f>parkeringssensor!$I$8:$I$12</c:f>
              <c:numCache>
                <c:formatCode>0.000</c:formatCode>
                <c:ptCount val="5"/>
                <c:pt idx="0">
                  <c:v>3.5</c:v>
                </c:pt>
                <c:pt idx="1">
                  <c:v>4.0999999999999996</c:v>
                </c:pt>
                <c:pt idx="2">
                  <c:v>4.5999999999999996</c:v>
                </c:pt>
                <c:pt idx="3">
                  <c:v>5.2</c:v>
                </c:pt>
                <c:pt idx="4">
                  <c:v>5.8</c:v>
                </c:pt>
              </c:numCache>
            </c:numRef>
          </c:xVal>
          <c:yVal>
            <c:numRef>
              <c:f>parkeringssensor!$J$8:$J$12</c:f>
              <c:numCache>
                <c:formatCode>0.00</c:formatCode>
                <c:ptCount val="5"/>
                <c:pt idx="0">
                  <c:v>19.433333333333334</c:v>
                </c:pt>
                <c:pt idx="1">
                  <c:v>16.666666666666668</c:v>
                </c:pt>
                <c:pt idx="2">
                  <c:v>14.6</c:v>
                </c:pt>
                <c:pt idx="3">
                  <c:v>12.799999999999999</c:v>
                </c:pt>
                <c:pt idx="4">
                  <c:v>11.333333333333334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7E-4C20-BEAB-CC4B72EE5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31136"/>
        <c:axId val="171933056"/>
      </c:scatterChart>
      <c:valAx>
        <c:axId val="171931136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Tid</a:t>
                </a:r>
                <a:r>
                  <a:rPr lang="sv-SE" baseline="0"/>
                  <a:t> [ms]</a:t>
                </a:r>
                <a:endParaRPr lang="sv-SE"/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71933056"/>
        <c:crosses val="autoZero"/>
        <c:crossBetween val="midCat"/>
      </c:valAx>
      <c:valAx>
        <c:axId val="17193305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Amplitud [mV]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71931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i="1"/>
      </a:pPr>
      <a:endParaRPr lang="sv-SE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Förändring av amplitud med avseende på distans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516185476816"/>
          <c:y val="0.125474628171479"/>
          <c:w val="0.79381014873140698"/>
          <c:h val="0.6954239574219890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</c:spPr>
          </c:marker>
          <c:trendline>
            <c:trendlineType val="linear"/>
            <c:backward val="1"/>
            <c:dispRSqr val="1"/>
            <c:dispEq val="1"/>
            <c:trendlineLbl>
              <c:layout>
                <c:manualLayout>
                  <c:x val="7.0070948728687174E-2"/>
                  <c:y val="-0.19059722947181873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parkeringssensor!$Q$8:$Q$12</c:f>
                <c:numCache>
                  <c:formatCode>General</c:formatCode>
                  <c:ptCount val="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</c:numCache>
              </c:numRef>
            </c:plus>
            <c:minus>
              <c:numRef>
                <c:f>parkeringssensor!$Q$8:$Q$12</c:f>
                <c:numCache>
                  <c:formatCode>General</c:formatCode>
                  <c:ptCount val="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</c:numCache>
              </c:numRef>
            </c:minus>
          </c:errBars>
          <c:xVal>
            <c:numRef>
              <c:f>parkeringssensor!$B$8:$B$12</c:f>
              <c:numCache>
                <c:formatCode>0.00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</c:numCache>
            </c:numRef>
          </c:xVal>
          <c:yVal>
            <c:numRef>
              <c:f>parkeringssensor!$J$8:$J$12</c:f>
              <c:numCache>
                <c:formatCode>0.00</c:formatCode>
                <c:ptCount val="5"/>
                <c:pt idx="0">
                  <c:v>19.433333333333334</c:v>
                </c:pt>
                <c:pt idx="1">
                  <c:v>16.666666666666668</c:v>
                </c:pt>
                <c:pt idx="2">
                  <c:v>14.6</c:v>
                </c:pt>
                <c:pt idx="3">
                  <c:v>12.799999999999999</c:v>
                </c:pt>
                <c:pt idx="4">
                  <c:v>11.333333333333334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32-426E-981E-377A2FBA3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31136"/>
        <c:axId val="171933056"/>
      </c:scatterChart>
      <c:valAx>
        <c:axId val="171931136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Avstånd</a:t>
                </a:r>
                <a:r>
                  <a:rPr lang="sv-SE" baseline="0"/>
                  <a:t> [m]</a:t>
                </a:r>
                <a:endParaRPr lang="sv-SE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71933056"/>
        <c:crosses val="autoZero"/>
        <c:crossBetween val="midCat"/>
      </c:valAx>
      <c:valAx>
        <c:axId val="17193305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Amplitud [mV]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71931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i="1"/>
      </a:pPr>
      <a:endParaRPr lang="sv-SE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parkeringssensor!$I$8:$I$12</c:f>
              <c:numCache>
                <c:formatCode>0.000</c:formatCode>
                <c:ptCount val="5"/>
                <c:pt idx="0">
                  <c:v>3.5</c:v>
                </c:pt>
                <c:pt idx="1">
                  <c:v>4.0999999999999996</c:v>
                </c:pt>
                <c:pt idx="2">
                  <c:v>4.5999999999999996</c:v>
                </c:pt>
                <c:pt idx="3">
                  <c:v>5.2</c:v>
                </c:pt>
                <c:pt idx="4">
                  <c:v>5.8</c:v>
                </c:pt>
              </c:numCache>
            </c:numRef>
          </c:xVal>
          <c:yVal>
            <c:numRef>
              <c:f>parkeringssensor!$J$8:$J$12</c:f>
              <c:numCache>
                <c:formatCode>0.00</c:formatCode>
                <c:ptCount val="5"/>
                <c:pt idx="0">
                  <c:v>19.433333333333334</c:v>
                </c:pt>
                <c:pt idx="1">
                  <c:v>16.666666666666668</c:v>
                </c:pt>
                <c:pt idx="2">
                  <c:v>14.6</c:v>
                </c:pt>
                <c:pt idx="3">
                  <c:v>12.799999999999999</c:v>
                </c:pt>
                <c:pt idx="4">
                  <c:v>11.333333333333334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8-0645-BC31-273037544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099968"/>
        <c:axId val="1895847856"/>
      </c:scatterChart>
      <c:valAx>
        <c:axId val="189609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95847856"/>
        <c:crosses val="autoZero"/>
        <c:crossBetween val="midCat"/>
      </c:valAx>
      <c:valAx>
        <c:axId val="18958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9609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16</xdr:row>
      <xdr:rowOff>73025</xdr:rowOff>
    </xdr:from>
    <xdr:to>
      <xdr:col>7</xdr:col>
      <xdr:colOff>761999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921223</xdr:colOff>
      <xdr:row>41</xdr:row>
      <xdr:rowOff>22747</xdr:rowOff>
    </xdr:from>
    <xdr:to>
      <xdr:col>16</xdr:col>
      <xdr:colOff>722515</xdr:colOff>
      <xdr:row>60</xdr:row>
      <xdr:rowOff>174563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86E8CF0-B946-42D0-A412-7CE241D80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390724</xdr:colOff>
      <xdr:row>41</xdr:row>
      <xdr:rowOff>39240</xdr:rowOff>
    </xdr:from>
    <xdr:to>
      <xdr:col>7</xdr:col>
      <xdr:colOff>751516</xdr:colOff>
      <xdr:row>61</xdr:row>
      <xdr:rowOff>1380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0EF37E7-AB1B-4A63-A092-1CE1B66E782B}"/>
            </a:ext>
            <a:ext uri="{147F2762-F138-4A5C-976F-8EAC2B608ADB}">
              <a16:predDERef xmlns:a16="http://schemas.microsoft.com/office/drawing/2014/main" pred="{086E8CF0-B946-42D0-A412-7CE241D80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530086</xdr:colOff>
      <xdr:row>40</xdr:row>
      <xdr:rowOff>202096</xdr:rowOff>
    </xdr:from>
    <xdr:to>
      <xdr:col>17</xdr:col>
      <xdr:colOff>491434</xdr:colOff>
      <xdr:row>55</xdr:row>
      <xdr:rowOff>4970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33B6F91B-33A3-2C4C-9E56-7C5F1A847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"/>
  <sheetViews>
    <sheetView tabSelected="1" zoomScale="92" zoomScaleNormal="95" workbookViewId="0">
      <selection activeCell="Q31" sqref="Q31:R35"/>
    </sheetView>
  </sheetViews>
  <sheetFormatPr baseColWidth="10" defaultColWidth="9.6640625" defaultRowHeight="15" x14ac:dyDescent="0.2"/>
  <cols>
    <col min="1" max="1" width="5.1640625" style="5" customWidth="1"/>
    <col min="2" max="3" width="13.33203125" style="5" customWidth="1"/>
    <col min="4" max="4" width="11.33203125" style="5" customWidth="1"/>
    <col min="5" max="10" width="12.33203125" style="5" customWidth="1"/>
    <col min="11" max="11" width="14.6640625" style="5" customWidth="1"/>
    <col min="12" max="12" width="12.6640625" style="5" customWidth="1"/>
    <col min="13" max="13" width="10.6640625" style="5" customWidth="1"/>
    <col min="14" max="14" width="12.6640625" style="5" customWidth="1"/>
    <col min="15" max="15" width="12.1640625" style="5" customWidth="1"/>
    <col min="16" max="16" width="12.33203125" style="5" customWidth="1"/>
    <col min="17" max="17" width="12.6640625" style="5" customWidth="1"/>
    <col min="18" max="18" width="14.5" style="5" customWidth="1"/>
    <col min="19" max="21" width="9.6640625" style="5"/>
    <col min="22" max="22" width="12.1640625" style="5" customWidth="1"/>
    <col min="23" max="23" width="14.33203125" style="5" customWidth="1"/>
    <col min="24" max="24" width="12.6640625" style="5" bestFit="1" customWidth="1"/>
    <col min="25" max="25" width="10.83203125" style="5" customWidth="1"/>
    <col min="26" max="26" width="13.6640625" style="5" customWidth="1"/>
    <col min="27" max="27" width="13.83203125" style="5" customWidth="1"/>
    <col min="28" max="28" width="9.1640625" style="5" bestFit="1" customWidth="1"/>
    <col min="29" max="29" width="14" style="5" customWidth="1"/>
    <col min="30" max="16384" width="9.6640625" style="5"/>
  </cols>
  <sheetData>
    <row r="1" spans="1:30" x14ac:dyDescent="0.2">
      <c r="C1" s="21"/>
      <c r="D1" s="10"/>
      <c r="E1" s="21"/>
    </row>
    <row r="2" spans="1:30" ht="16" x14ac:dyDescent="0.2">
      <c r="A2" s="4"/>
      <c r="B2" s="4" t="s">
        <v>16</v>
      </c>
      <c r="C2" s="22"/>
      <c r="D2" s="10"/>
      <c r="E2" s="21"/>
    </row>
    <row r="3" spans="1:30" ht="16" x14ac:dyDescent="0.2">
      <c r="A3" s="4"/>
      <c r="C3" s="22"/>
      <c r="D3" s="10"/>
      <c r="E3" s="21"/>
    </row>
    <row r="4" spans="1:30" ht="16" x14ac:dyDescent="0.2">
      <c r="A4" s="4"/>
      <c r="C4" s="22"/>
      <c r="D4" s="10"/>
      <c r="E4" s="21"/>
    </row>
    <row r="5" spans="1:30" ht="16" x14ac:dyDescent="0.2">
      <c r="A5" s="4"/>
      <c r="C5" s="22"/>
      <c r="D5" s="10"/>
      <c r="E5" s="21"/>
    </row>
    <row r="6" spans="1:30" ht="16" x14ac:dyDescent="0.2">
      <c r="A6" s="4"/>
      <c r="C6" s="24" t="s">
        <v>13</v>
      </c>
      <c r="D6" s="25"/>
      <c r="E6" s="24" t="s">
        <v>14</v>
      </c>
      <c r="F6" s="25"/>
      <c r="G6" s="24" t="s">
        <v>15</v>
      </c>
      <c r="H6" s="25"/>
      <c r="I6" s="24" t="s">
        <v>17</v>
      </c>
      <c r="J6" s="25"/>
      <c r="K6" s="24" t="s">
        <v>19</v>
      </c>
      <c r="L6" s="25"/>
      <c r="M6" s="24" t="s">
        <v>20</v>
      </c>
      <c r="P6" s="24" t="s">
        <v>18</v>
      </c>
      <c r="V6" s="24" t="s">
        <v>26</v>
      </c>
      <c r="W6" s="25"/>
      <c r="X6" s="24" t="s">
        <v>27</v>
      </c>
      <c r="AA6" s="24" t="s">
        <v>28</v>
      </c>
    </row>
    <row r="7" spans="1:30" x14ac:dyDescent="0.2">
      <c r="B7" s="7" t="s">
        <v>12</v>
      </c>
      <c r="C7" s="7" t="s">
        <v>21</v>
      </c>
      <c r="D7" s="6" t="s">
        <v>22</v>
      </c>
      <c r="E7" s="7" t="s">
        <v>21</v>
      </c>
      <c r="F7" s="6" t="s">
        <v>22</v>
      </c>
      <c r="G7" s="7" t="s">
        <v>21</v>
      </c>
      <c r="H7" s="6" t="s">
        <v>22</v>
      </c>
      <c r="I7" s="7" t="s">
        <v>21</v>
      </c>
      <c r="J7" s="6" t="s">
        <v>22</v>
      </c>
      <c r="K7" s="7" t="s">
        <v>21</v>
      </c>
      <c r="L7" s="6" t="s">
        <v>22</v>
      </c>
      <c r="M7" s="7" t="s">
        <v>12</v>
      </c>
      <c r="N7" s="7" t="s">
        <v>21</v>
      </c>
      <c r="O7" s="6" t="s">
        <v>22</v>
      </c>
      <c r="P7" s="7" t="s">
        <v>12</v>
      </c>
      <c r="Q7" s="7" t="s">
        <v>21</v>
      </c>
      <c r="R7" s="6" t="s">
        <v>22</v>
      </c>
      <c r="V7" s="7" t="s">
        <v>29</v>
      </c>
      <c r="W7" s="7" t="s">
        <v>30</v>
      </c>
      <c r="X7" s="7" t="s">
        <v>31</v>
      </c>
      <c r="Y7" s="7" t="s">
        <v>29</v>
      </c>
      <c r="Z7" s="7" t="s">
        <v>30</v>
      </c>
      <c r="AA7" s="7" t="s">
        <v>31</v>
      </c>
      <c r="AB7" s="7" t="s">
        <v>29</v>
      </c>
      <c r="AC7" s="7" t="s">
        <v>30</v>
      </c>
      <c r="AD7" s="7"/>
    </row>
    <row r="8" spans="1:30" x14ac:dyDescent="0.2">
      <c r="A8" s="5">
        <v>1</v>
      </c>
      <c r="B8" s="26">
        <v>0.6</v>
      </c>
      <c r="C8" s="26">
        <v>3.5</v>
      </c>
      <c r="D8" s="8">
        <v>19.3</v>
      </c>
      <c r="E8" s="26">
        <v>3.5</v>
      </c>
      <c r="F8" s="27">
        <v>19</v>
      </c>
      <c r="G8" s="26">
        <v>3.5</v>
      </c>
      <c r="H8" s="27">
        <v>20</v>
      </c>
      <c r="I8" s="28">
        <f>AVERAGE(C8,E8,G8)</f>
        <v>3.5</v>
      </c>
      <c r="J8" s="26">
        <f>AVERAGE(D8,F8,H8)</f>
        <v>19.433333333333334</v>
      </c>
      <c r="K8" s="28">
        <f>STDEV(C8,E8,G8)/SQRT(COUNT(C8,E8,G8))</f>
        <v>0</v>
      </c>
      <c r="L8" s="28">
        <f>STDEV(D8,F8,H8)/SQRT(COUNT(D8,F8,H8))</f>
        <v>0.29627314724385295</v>
      </c>
      <c r="M8" s="30">
        <v>5.0000000000000001E-4</v>
      </c>
      <c r="N8" s="28">
        <v>0.5</v>
      </c>
      <c r="O8" s="26">
        <v>0.2</v>
      </c>
      <c r="P8" s="30">
        <f>M8</f>
        <v>5.0000000000000001E-4</v>
      </c>
      <c r="Q8" s="28">
        <f>K8+N8</f>
        <v>0.5</v>
      </c>
      <c r="R8" s="26">
        <f t="shared" ref="Q8:R12" si="0">L8+O8</f>
        <v>0.49627314724385296</v>
      </c>
      <c r="V8" s="28">
        <f>STDEV(C8,E8,G8)/SQRT(COUNT(C8,E8,G8))</f>
        <v>0</v>
      </c>
      <c r="W8" s="28">
        <f>STDEV(D8,F8,H8)/SQRT(COUNT(D8,F8,H8))</f>
        <v>0.29627314724385295</v>
      </c>
      <c r="X8" s="30">
        <v>5.0000000000000001E-4</v>
      </c>
      <c r="Y8" s="28">
        <v>0.5</v>
      </c>
      <c r="Z8" s="26">
        <v>0.2</v>
      </c>
      <c r="AA8" s="26">
        <f>M8</f>
        <v>5.0000000000000001E-4</v>
      </c>
      <c r="AB8" s="28">
        <f>K8+N8</f>
        <v>0.5</v>
      </c>
      <c r="AC8" s="26">
        <f>L8+O8</f>
        <v>0.49627314724385296</v>
      </c>
    </row>
    <row r="9" spans="1:30" x14ac:dyDescent="0.2">
      <c r="A9" s="5">
        <v>2</v>
      </c>
      <c r="B9" s="26">
        <v>0.7</v>
      </c>
      <c r="C9" s="26">
        <v>4.0999999999999996</v>
      </c>
      <c r="D9" s="8">
        <v>17</v>
      </c>
      <c r="E9" s="26">
        <v>4.0999999999999996</v>
      </c>
      <c r="F9" s="27">
        <v>16.5</v>
      </c>
      <c r="G9" s="26">
        <v>4.0999999999999996</v>
      </c>
      <c r="H9" s="27">
        <v>16.5</v>
      </c>
      <c r="I9" s="28">
        <f t="shared" ref="I9:I12" si="1">AVERAGE(C9,E9,G9)</f>
        <v>4.0999999999999996</v>
      </c>
      <c r="J9" s="26">
        <f t="shared" ref="J9:J12" si="2">AVERAGE(D9,F9,H9)</f>
        <v>16.666666666666668</v>
      </c>
      <c r="K9" s="28">
        <f t="shared" ref="K9:K12" si="3">STDEV(C9,E9,G9)/SQRT(COUNT(C9,E9,G9))</f>
        <v>0</v>
      </c>
      <c r="L9" s="28">
        <f t="shared" ref="L9:L12" si="4">STDEV(D9,F9,H9)/SQRT(COUNT(D9,F9,H9))</f>
        <v>0.16666666666666669</v>
      </c>
      <c r="M9" s="30">
        <v>5.0000000000000001E-4</v>
      </c>
      <c r="N9" s="28">
        <v>0.5</v>
      </c>
      <c r="O9" s="26">
        <v>0.2</v>
      </c>
      <c r="P9" s="30">
        <f t="shared" ref="P9:P12" si="5">M9</f>
        <v>5.0000000000000001E-4</v>
      </c>
      <c r="Q9" s="28">
        <f t="shared" si="0"/>
        <v>0.5</v>
      </c>
      <c r="R9" s="26">
        <f t="shared" si="0"/>
        <v>0.3666666666666667</v>
      </c>
      <c r="V9" s="28">
        <f t="shared" ref="V9:V12" si="6">STDEV(C9,E9,G9)/SQRT(COUNT(C9,E9,G9))</f>
        <v>0</v>
      </c>
      <c r="W9" s="28">
        <f t="shared" ref="W9:W12" si="7">STDEV(D9,F9,H9)/SQRT(COUNT(D9,F9,H9))</f>
        <v>0.16666666666666669</v>
      </c>
      <c r="X9" s="30">
        <v>5.0000000000000001E-4</v>
      </c>
      <c r="Y9" s="28">
        <v>0.5</v>
      </c>
      <c r="Z9" s="26">
        <v>0.2</v>
      </c>
      <c r="AA9" s="26">
        <f t="shared" ref="AA9:AA12" si="8">M9</f>
        <v>5.0000000000000001E-4</v>
      </c>
      <c r="AB9" s="28">
        <f t="shared" ref="AB9:AB12" si="9">K9+N9</f>
        <v>0.5</v>
      </c>
      <c r="AC9" s="26">
        <f t="shared" ref="AC9:AC12" si="10">L9+O9</f>
        <v>0.3666666666666667</v>
      </c>
    </row>
    <row r="10" spans="1:30" x14ac:dyDescent="0.2">
      <c r="A10" s="5">
        <v>3</v>
      </c>
      <c r="B10" s="26">
        <v>0.8</v>
      </c>
      <c r="C10" s="26">
        <v>4.5999999999999996</v>
      </c>
      <c r="D10" s="8">
        <v>14.4</v>
      </c>
      <c r="E10" s="26">
        <v>4.5999999999999996</v>
      </c>
      <c r="F10" s="27">
        <v>15</v>
      </c>
      <c r="G10" s="26">
        <v>4.5999999999999996</v>
      </c>
      <c r="H10" s="27">
        <v>14.4</v>
      </c>
      <c r="I10" s="28">
        <f t="shared" si="1"/>
        <v>4.5999999999999996</v>
      </c>
      <c r="J10" s="26">
        <f t="shared" si="2"/>
        <v>14.6</v>
      </c>
      <c r="K10" s="28">
        <f t="shared" si="3"/>
        <v>0</v>
      </c>
      <c r="L10" s="28">
        <f t="shared" si="4"/>
        <v>0.19999999999999987</v>
      </c>
      <c r="M10" s="30">
        <v>5.0000000000000001E-4</v>
      </c>
      <c r="N10" s="28">
        <v>0.5</v>
      </c>
      <c r="O10" s="26">
        <v>0.5</v>
      </c>
      <c r="P10" s="30">
        <f t="shared" si="5"/>
        <v>5.0000000000000001E-4</v>
      </c>
      <c r="Q10" s="28">
        <f t="shared" si="0"/>
        <v>0.5</v>
      </c>
      <c r="R10" s="26">
        <f t="shared" si="0"/>
        <v>0.69999999999999984</v>
      </c>
      <c r="V10" s="28">
        <f t="shared" si="6"/>
        <v>0</v>
      </c>
      <c r="W10" s="28">
        <f t="shared" si="7"/>
        <v>0.19999999999999987</v>
      </c>
      <c r="X10" s="30">
        <v>5.0000000000000001E-4</v>
      </c>
      <c r="Y10" s="28">
        <v>0.5</v>
      </c>
      <c r="Z10" s="26">
        <v>0.5</v>
      </c>
      <c r="AA10" s="26">
        <f t="shared" si="8"/>
        <v>5.0000000000000001E-4</v>
      </c>
      <c r="AB10" s="28">
        <f t="shared" si="9"/>
        <v>0.5</v>
      </c>
      <c r="AC10" s="26">
        <f t="shared" si="10"/>
        <v>0.69999999999999984</v>
      </c>
    </row>
    <row r="11" spans="1:30" x14ac:dyDescent="0.2">
      <c r="A11" s="5">
        <v>4</v>
      </c>
      <c r="B11" s="26">
        <v>0.9</v>
      </c>
      <c r="C11" s="26">
        <v>5.2</v>
      </c>
      <c r="D11" s="8">
        <v>13.2</v>
      </c>
      <c r="E11" s="26">
        <v>5.2</v>
      </c>
      <c r="F11" s="27">
        <v>12.8</v>
      </c>
      <c r="G11" s="26">
        <v>5.2</v>
      </c>
      <c r="H11" s="27">
        <v>12.4</v>
      </c>
      <c r="I11" s="28">
        <f t="shared" si="1"/>
        <v>5.2</v>
      </c>
      <c r="J11" s="26">
        <f t="shared" si="2"/>
        <v>12.799999999999999</v>
      </c>
      <c r="K11" s="28">
        <f t="shared" si="3"/>
        <v>0</v>
      </c>
      <c r="L11" s="28">
        <f t="shared" si="4"/>
        <v>0.23094010767585002</v>
      </c>
      <c r="M11" s="30">
        <v>5.0000000000000001E-4</v>
      </c>
      <c r="N11" s="28">
        <v>0.5</v>
      </c>
      <c r="O11" s="26">
        <v>0.5</v>
      </c>
      <c r="P11" s="30">
        <f t="shared" si="5"/>
        <v>5.0000000000000001E-4</v>
      </c>
      <c r="Q11" s="28">
        <f t="shared" si="0"/>
        <v>0.5</v>
      </c>
      <c r="R11" s="26">
        <f t="shared" si="0"/>
        <v>0.73094010767585005</v>
      </c>
      <c r="V11" s="28">
        <f t="shared" si="6"/>
        <v>0</v>
      </c>
      <c r="W11" s="28">
        <f t="shared" si="7"/>
        <v>0.23094010767585002</v>
      </c>
      <c r="X11" s="30">
        <v>5.0000000000000001E-4</v>
      </c>
      <c r="Y11" s="28">
        <v>0.5</v>
      </c>
      <c r="Z11" s="26">
        <v>0.5</v>
      </c>
      <c r="AA11" s="26">
        <f t="shared" si="8"/>
        <v>5.0000000000000001E-4</v>
      </c>
      <c r="AB11" s="28">
        <f t="shared" si="9"/>
        <v>0.5</v>
      </c>
      <c r="AC11" s="26">
        <f t="shared" si="10"/>
        <v>0.73094010767585005</v>
      </c>
    </row>
    <row r="12" spans="1:30" x14ac:dyDescent="0.2">
      <c r="A12" s="5">
        <v>5</v>
      </c>
      <c r="B12" s="26">
        <v>1</v>
      </c>
      <c r="C12" s="26">
        <v>5.8</v>
      </c>
      <c r="D12" s="8">
        <v>11.2</v>
      </c>
      <c r="E12" s="26">
        <v>5.8</v>
      </c>
      <c r="F12" s="27">
        <v>11.2</v>
      </c>
      <c r="G12" s="26">
        <v>5.8</v>
      </c>
      <c r="H12" s="27">
        <v>11.6</v>
      </c>
      <c r="I12" s="28">
        <f t="shared" si="1"/>
        <v>5.8</v>
      </c>
      <c r="J12" s="26">
        <f t="shared" si="2"/>
        <v>11.333333333333334</v>
      </c>
      <c r="K12" s="28">
        <f t="shared" si="3"/>
        <v>0</v>
      </c>
      <c r="L12" s="28">
        <f t="shared" si="4"/>
        <v>0.13333333333333347</v>
      </c>
      <c r="M12" s="30">
        <v>5.0000000000000001E-4</v>
      </c>
      <c r="N12" s="28">
        <v>0.5</v>
      </c>
      <c r="O12" s="26">
        <v>0.5</v>
      </c>
      <c r="P12" s="30">
        <f t="shared" si="5"/>
        <v>5.0000000000000001E-4</v>
      </c>
      <c r="Q12" s="28">
        <f t="shared" si="0"/>
        <v>0.5</v>
      </c>
      <c r="R12" s="26">
        <f t="shared" si="0"/>
        <v>0.63333333333333353</v>
      </c>
      <c r="V12" s="28">
        <f t="shared" si="6"/>
        <v>0</v>
      </c>
      <c r="W12" s="28">
        <f t="shared" si="7"/>
        <v>0.13333333333333347</v>
      </c>
      <c r="X12" s="30">
        <v>5.0000000000000001E-4</v>
      </c>
      <c r="Y12" s="28">
        <v>0.5</v>
      </c>
      <c r="Z12" s="26">
        <v>0.5</v>
      </c>
      <c r="AA12" s="26">
        <f t="shared" si="8"/>
        <v>5.0000000000000001E-4</v>
      </c>
      <c r="AB12" s="28">
        <f t="shared" si="9"/>
        <v>0.5</v>
      </c>
      <c r="AC12" s="26">
        <f t="shared" si="10"/>
        <v>0.63333333333333353</v>
      </c>
    </row>
    <row r="13" spans="1:30" x14ac:dyDescent="0.2">
      <c r="C13" s="23"/>
      <c r="D13" s="10"/>
    </row>
    <row r="14" spans="1:30" x14ac:dyDescent="0.2">
      <c r="C14" s="23"/>
      <c r="D14" s="10"/>
    </row>
    <row r="15" spans="1:30" ht="16" x14ac:dyDescent="0.2">
      <c r="C15" s="23"/>
      <c r="D15" s="10"/>
      <c r="V15" s="7" t="s">
        <v>31</v>
      </c>
      <c r="W15" s="7" t="s">
        <v>29</v>
      </c>
      <c r="X15" s="32" t="s">
        <v>32</v>
      </c>
    </row>
    <row r="16" spans="1:30" x14ac:dyDescent="0.2">
      <c r="B16" s="29" t="s">
        <v>23</v>
      </c>
      <c r="K16" s="29" t="s">
        <v>25</v>
      </c>
      <c r="V16" s="26">
        <v>0.6</v>
      </c>
      <c r="W16" s="28">
        <f>AVERAGE(C8,E8,G8)</f>
        <v>3.5</v>
      </c>
      <c r="X16" s="31">
        <v>1.1495238099999999E-2</v>
      </c>
    </row>
    <row r="17" spans="1:24" x14ac:dyDescent="0.2">
      <c r="V17" s="26">
        <v>0.7</v>
      </c>
      <c r="W17" s="28">
        <f>AVERAGE(C9,E9,G9)</f>
        <v>4.0999999999999996</v>
      </c>
      <c r="X17" s="31">
        <v>9.8132403999999993E-3</v>
      </c>
    </row>
    <row r="18" spans="1:24" x14ac:dyDescent="0.2">
      <c r="I18" s="9"/>
      <c r="K18" s="17" t="s">
        <v>0</v>
      </c>
      <c r="M18" s="17" t="s">
        <v>3</v>
      </c>
      <c r="V18" s="26">
        <v>0.8</v>
      </c>
      <c r="W18" s="28">
        <f>AVERAGE(C10,E10,G10)</f>
        <v>4.5999999999999996</v>
      </c>
      <c r="X18" s="31">
        <v>9.1956521999999995E-3</v>
      </c>
    </row>
    <row r="19" spans="1:24" ht="16" x14ac:dyDescent="0.2">
      <c r="I19" s="9"/>
      <c r="J19" s="18" t="s">
        <v>1</v>
      </c>
      <c r="K19" s="2">
        <f>SLOPE(I8:I12,B8:B12)</f>
        <v>5.6999999999999993</v>
      </c>
      <c r="M19" s="2">
        <f>LINEST(I8:I12,B8:B12,FALSE)</f>
        <v>5.796969696969696</v>
      </c>
      <c r="V19" s="26">
        <v>0.9</v>
      </c>
      <c r="W19" s="28">
        <f>AVERAGE(C11,E11,G11)</f>
        <v>5.2</v>
      </c>
      <c r="X19" s="31">
        <v>8.1367521000000002E-3</v>
      </c>
    </row>
    <row r="20" spans="1:24" ht="16" x14ac:dyDescent="0.2">
      <c r="I20" s="9"/>
      <c r="J20" s="18" t="s">
        <v>2</v>
      </c>
      <c r="K20" s="3">
        <f>INTERCEPT(I8:I12,B8:B12)</f>
        <v>8.0000000000000959E-2</v>
      </c>
      <c r="V20" s="26">
        <v>1</v>
      </c>
      <c r="W20" s="28">
        <f>AVERAGE(C12,E12,G12)</f>
        <v>5.8</v>
      </c>
      <c r="X20" s="31">
        <v>7.2965516999999999E-3</v>
      </c>
    </row>
    <row r="21" spans="1:24" ht="16" x14ac:dyDescent="0.2">
      <c r="I21" s="9"/>
      <c r="J21" s="19"/>
      <c r="K21" s="18" t="s">
        <v>5</v>
      </c>
      <c r="L21" s="2">
        <f>STEYX(I8:I12,B8:B12)</f>
        <v>3.1622776601684395E-2</v>
      </c>
    </row>
    <row r="22" spans="1:24" x14ac:dyDescent="0.2">
      <c r="I22" s="9"/>
    </row>
    <row r="23" spans="1:24" x14ac:dyDescent="0.2">
      <c r="I23" s="9"/>
      <c r="K23" s="17" t="s">
        <v>4</v>
      </c>
    </row>
    <row r="24" spans="1:24" ht="16" x14ac:dyDescent="0.2">
      <c r="I24" s="9"/>
      <c r="J24" s="18" t="s">
        <v>1</v>
      </c>
      <c r="K24" s="2">
        <f t="array" ref="K24:L28">LINEST($I$8:$I$12,$B$8:$B$12,TRUE,TRUE)</f>
        <v>5.6999999999999993</v>
      </c>
      <c r="L24" s="2">
        <v>8.0000000000000959E-2</v>
      </c>
      <c r="M24" s="20" t="str">
        <f>"= Skärningspunkt"</f>
        <v>= Skärningspunkt</v>
      </c>
    </row>
    <row r="25" spans="1:24" ht="16" x14ac:dyDescent="0.2">
      <c r="I25" s="9"/>
      <c r="J25" s="18" t="s">
        <v>6</v>
      </c>
      <c r="K25" s="2">
        <v>0.10000000000000084</v>
      </c>
      <c r="L25" s="2">
        <v>8.1240384046360276E-2</v>
      </c>
      <c r="M25" s="20" t="str">
        <f>"= Standardfel i skärningspunkt"</f>
        <v>= Standardfel i skärningspunkt</v>
      </c>
    </row>
    <row r="26" spans="1:24" ht="16" x14ac:dyDescent="0.2">
      <c r="I26" s="9"/>
      <c r="J26" s="18" t="s">
        <v>7</v>
      </c>
      <c r="K26" s="2">
        <v>0.99907749077490771</v>
      </c>
      <c r="L26" s="2">
        <v>3.1622776601684062E-2</v>
      </c>
      <c r="M26" s="20" t="str">
        <f>"= Standardfel i anpassningen (= experimentella data)"</f>
        <v>= Standardfel i anpassningen (= experimentella data)</v>
      </c>
    </row>
    <row r="27" spans="1:24" ht="16" x14ac:dyDescent="0.2">
      <c r="I27" s="9"/>
      <c r="J27" s="18" t="s">
        <v>8</v>
      </c>
      <c r="K27" s="2">
        <v>3248.999999999945</v>
      </c>
      <c r="L27" s="2">
        <v>3</v>
      </c>
      <c r="M27" s="20" t="str">
        <f>"= Antalet frihetsgrader"</f>
        <v>= Antalet frihetsgrader</v>
      </c>
    </row>
    <row r="28" spans="1:24" ht="16" x14ac:dyDescent="0.2">
      <c r="A28" s="10"/>
      <c r="B28" s="10"/>
      <c r="C28" s="10"/>
      <c r="D28" s="10"/>
      <c r="E28" s="10"/>
      <c r="F28" s="10"/>
      <c r="G28" s="10"/>
      <c r="H28" s="10"/>
      <c r="I28" s="11"/>
      <c r="J28" s="18" t="s">
        <v>10</v>
      </c>
      <c r="K28" s="2">
        <v>3.2490000000000001</v>
      </c>
      <c r="L28" s="2">
        <v>3.0000000000000508E-3</v>
      </c>
      <c r="M28" s="20" t="str">
        <f>"= Residualkvadratsumman (= felkvadratsumman)"</f>
        <v>= Residualkvadratsumman (= felkvadratsumman)</v>
      </c>
    </row>
    <row r="29" spans="1:24" x14ac:dyDescent="0.2">
      <c r="A29" s="10"/>
      <c r="B29" s="10"/>
      <c r="C29" s="10"/>
      <c r="D29" s="10"/>
      <c r="E29" s="10"/>
      <c r="F29" s="10"/>
      <c r="G29" s="10"/>
      <c r="H29" s="10"/>
      <c r="I29" s="11"/>
      <c r="J29" s="18" t="s">
        <v>11</v>
      </c>
      <c r="M29" s="19"/>
    </row>
    <row r="30" spans="1:24" x14ac:dyDescent="0.2">
      <c r="A30" s="10"/>
      <c r="B30" s="10"/>
      <c r="C30" s="10"/>
      <c r="D30" s="10"/>
      <c r="E30" s="10"/>
      <c r="F30" s="10"/>
      <c r="G30" s="10"/>
      <c r="H30" s="10"/>
      <c r="I30" s="11"/>
    </row>
    <row r="31" spans="1:24" ht="16" x14ac:dyDescent="0.2">
      <c r="A31" s="12"/>
      <c r="B31" s="13"/>
      <c r="C31" s="13"/>
      <c r="D31" s="13"/>
      <c r="E31" s="13"/>
      <c r="F31" s="13"/>
      <c r="G31" s="13"/>
      <c r="H31" s="13"/>
      <c r="I31" s="13"/>
      <c r="J31" s="20" t="s">
        <v>9</v>
      </c>
      <c r="Q31" s="26">
        <v>0.6</v>
      </c>
      <c r="R31" s="5" t="s">
        <v>33</v>
      </c>
    </row>
    <row r="32" spans="1:24" ht="16" x14ac:dyDescent="0.2">
      <c r="A32" s="13"/>
      <c r="B32" s="14"/>
      <c r="C32" s="14"/>
      <c r="D32" s="13"/>
      <c r="E32" s="13"/>
      <c r="F32" s="15"/>
      <c r="G32" s="13"/>
      <c r="H32" s="15"/>
      <c r="I32" s="13"/>
      <c r="Q32" s="26">
        <v>0.7</v>
      </c>
      <c r="R32" s="5" t="s">
        <v>34</v>
      </c>
    </row>
    <row r="33" spans="1:18" ht="16" x14ac:dyDescent="0.2">
      <c r="A33" s="13"/>
      <c r="B33" s="13"/>
      <c r="C33" s="13"/>
      <c r="D33" s="13"/>
      <c r="E33" s="16"/>
      <c r="F33" s="13"/>
      <c r="G33" s="13"/>
      <c r="H33" s="13"/>
      <c r="I33" s="13"/>
      <c r="Q33" s="26">
        <v>0.8</v>
      </c>
      <c r="R33" s="5" t="s">
        <v>35</v>
      </c>
    </row>
    <row r="34" spans="1:18" ht="16" x14ac:dyDescent="0.2">
      <c r="A34" s="13"/>
      <c r="B34" s="13"/>
      <c r="C34" s="13"/>
      <c r="D34" s="13"/>
      <c r="E34" s="16"/>
      <c r="F34" s="13"/>
      <c r="G34" s="13"/>
      <c r="H34" s="13"/>
      <c r="I34" s="13"/>
      <c r="Q34" s="26">
        <v>0.9</v>
      </c>
      <c r="R34" s="5" t="s">
        <v>36</v>
      </c>
    </row>
    <row r="35" spans="1:18" ht="16" x14ac:dyDescent="0.2">
      <c r="A35" s="13"/>
      <c r="B35" s="13"/>
      <c r="C35" s="13"/>
      <c r="D35" s="13"/>
      <c r="E35" s="13"/>
      <c r="F35" s="16"/>
      <c r="G35" s="13"/>
      <c r="H35" s="13"/>
      <c r="I35" s="13"/>
      <c r="Q35" s="26">
        <v>1</v>
      </c>
      <c r="R35" s="5" t="s">
        <v>37</v>
      </c>
    </row>
    <row r="36" spans="1:18" ht="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9"/>
    </row>
    <row r="37" spans="1:18" ht="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9"/>
      <c r="M37" s="6"/>
      <c r="N37" s="6"/>
    </row>
    <row r="38" spans="1:18" ht="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9"/>
      <c r="L38" s="7"/>
      <c r="M38" s="7"/>
      <c r="N38" s="6"/>
    </row>
    <row r="39" spans="1:18" ht="16" x14ac:dyDescent="0.2">
      <c r="A39" s="13"/>
      <c r="B39" s="29" t="s">
        <v>24</v>
      </c>
      <c r="C39" s="13"/>
      <c r="D39" s="13"/>
      <c r="E39" s="13"/>
      <c r="F39" s="13"/>
      <c r="G39" s="13"/>
      <c r="H39" s="13"/>
      <c r="I39" s="13"/>
      <c r="J39" s="1"/>
    </row>
    <row r="40" spans="1:18" ht="16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"/>
    </row>
    <row r="41" spans="1:18" ht="1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8" ht="1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8" ht="1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pageMargins left="0.7" right="0.7" top="0.75" bottom="0.75" header="0.3" footer="0.3"/>
  <pageSetup paperSize="9" orientation="portrait" horizontalDpi="4294967292" verticalDpi="4294967292" r:id="rId1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parkeringssensor</vt:lpstr>
    </vt:vector>
  </TitlesOfParts>
  <Company>Uppsala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Sellberg</dc:creator>
  <cp:lastModifiedBy>tor modin</cp:lastModifiedBy>
  <dcterms:created xsi:type="dcterms:W3CDTF">2017-10-17T18:12:22Z</dcterms:created>
  <dcterms:modified xsi:type="dcterms:W3CDTF">2021-10-17T18:40:58Z</dcterms:modified>
</cp:coreProperties>
</file>