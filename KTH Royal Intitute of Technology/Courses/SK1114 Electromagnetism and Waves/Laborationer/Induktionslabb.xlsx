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03d64890cf78b3/KTH - Dokument/SK1114 HT21-1 Elektromagnetism/"/>
    </mc:Choice>
  </mc:AlternateContent>
  <xr:revisionPtr revIDLastSave="174" documentId="8_{09246F56-3325-2641-A488-BC0D48108327}" xr6:coauthVersionLast="47" xr6:coauthVersionMax="47" xr10:uidLastSave="{9105DC40-F77F-004A-9474-E9EA6C336CE2}"/>
  <bookViews>
    <workbookView xWindow="0" yWindow="500" windowWidth="28800" windowHeight="17500" xr2:uid="{00000000-000D-0000-FFFF-FFFF00000000}"/>
  </bookViews>
  <sheets>
    <sheet name="Blad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J6" i="1"/>
  <c r="J7" i="1"/>
  <c r="J8" i="1"/>
  <c r="J9" i="1"/>
  <c r="J10" i="1"/>
  <c r="J11" i="1"/>
  <c r="G2" i="1"/>
  <c r="H2" i="1" s="1"/>
  <c r="G3" i="1"/>
  <c r="J3" i="1" s="1"/>
  <c r="G4" i="1"/>
  <c r="H4" i="1" s="1"/>
  <c r="G5" i="1"/>
  <c r="J5" i="1" s="1"/>
  <c r="J2" i="1"/>
  <c r="H11" i="1"/>
  <c r="H10" i="1"/>
  <c r="H9" i="1"/>
  <c r="H8" i="1"/>
  <c r="H7" i="1"/>
  <c r="H6" i="1"/>
  <c r="H5" i="1"/>
  <c r="H3" i="1"/>
  <c r="J4" i="1" l="1"/>
</calcChain>
</file>

<file path=xl/sharedStrings.xml><?xml version="1.0" encoding="utf-8"?>
<sst xmlns="http://schemas.openxmlformats.org/spreadsheetml/2006/main" count="21" uniqueCount="21">
  <si>
    <t>Spole</t>
  </si>
  <si>
    <t>N</t>
  </si>
  <si>
    <t>Resistans</t>
  </si>
  <si>
    <t>Impedans</t>
  </si>
  <si>
    <t>U/I</t>
  </si>
  <si>
    <t>Z (ohm)</t>
  </si>
  <si>
    <t>I (mA)</t>
  </si>
  <si>
    <t>U (V)</t>
  </si>
  <si>
    <t>f (Hz)</t>
  </si>
  <si>
    <t>w (Hz)</t>
  </si>
  <si>
    <t>Yaxeln</t>
  </si>
  <si>
    <t>Kapacitans</t>
  </si>
  <si>
    <t>Induktans (uppmätt)</t>
  </si>
  <si>
    <t>Induktans (teoretisk)</t>
  </si>
  <si>
    <t>L2 = 15,6 H</t>
  </si>
  <si>
    <t>L1 = 9,8927 H</t>
  </si>
  <si>
    <t xml:space="preserve">C = 1 / (L1 * (W0)^2) = 40 mikrofarad </t>
  </si>
  <si>
    <t>C (mikrofarad)</t>
  </si>
  <si>
    <t>I (mikroampere)</t>
  </si>
  <si>
    <t>mA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</si>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</sst>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Blad1!$J$1</c:f>
              <c:strCache>
                <c:ptCount val="1"/>
                <c:pt idx="0">
                  <c:v>Yaxeln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Blad1!$I$2:$I$11</c:f>
              <c:numCache>
                <c:formatCode>General</c:formatCode>
                <c:ptCount val="10"/>
                <c:pt idx="0">
                  <c:v>62.831853071795862</c:v>
                </c:pt>
                <c:pt idx="1">
                  <c:v>125.66370614359172</c:v>
                </c:pt>
                <c:pt idx="2">
                  <c:v>188.49555921538757</c:v>
                </c:pt>
                <c:pt idx="3">
                  <c:v>251.32741228718345</c:v>
                </c:pt>
                <c:pt idx="4">
                  <c:v>314.15926535897933</c:v>
                </c:pt>
                <c:pt idx="5">
                  <c:v>376.99111843077515</c:v>
                </c:pt>
                <c:pt idx="6">
                  <c:v>439.82297150257102</c:v>
                </c:pt>
                <c:pt idx="7">
                  <c:v>502.6548245743669</c:v>
                </c:pt>
                <c:pt idx="8">
                  <c:v>565.48667764616278</c:v>
                </c:pt>
                <c:pt idx="9">
                  <c:v>628.31853071795865</c:v>
                </c:pt>
              </c:numCache>
            </c:numRef>
          </c:xVal>
          <c:yVal>
            <c:numRef>
              <c:f>Blad1!$J$2:$J$11</c:f>
              <c:numCache>
                <c:formatCode>General</c:formatCode>
                <c:ptCount val="10"/>
                <c:pt idx="0">
                  <c:v>659.31558935361215</c:v>
                </c:pt>
                <c:pt idx="1">
                  <c:v>1278.9855072463768</c:v>
                </c:pt>
                <c:pt idx="2">
                  <c:v>1905.3763440860214</c:v>
                </c:pt>
                <c:pt idx="3">
                  <c:v>2534.2857142857142</c:v>
                </c:pt>
                <c:pt idx="4">
                  <c:v>3114.0350877192982</c:v>
                </c:pt>
                <c:pt idx="5">
                  <c:v>3700</c:v>
                </c:pt>
                <c:pt idx="6">
                  <c:v>4440</c:v>
                </c:pt>
                <c:pt idx="7">
                  <c:v>4936.1111111111104</c:v>
                </c:pt>
                <c:pt idx="8">
                  <c:v>5553.1249999999991</c:v>
                </c:pt>
                <c:pt idx="9">
                  <c:v>6346.4285714285716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3-8442-96F7-AC01392C0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070256"/>
        <c:axId val="844795424"/>
      </c:scatterChart>
      <c:valAx>
        <c:axId val="83707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44795424"/>
        <c:crosses val="autoZero"/>
        <c:crossBetween val="midCat"/>
      </c:valAx>
      <c:valAx>
        <c:axId val="84479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3707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Blad1!$M$1</c:f>
              <c:strCache>
                <c:ptCount val="1"/>
                <c:pt idx="0">
                  <c:v>I (mikroampere)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Blad1!$L$2:$L$10</c:f>
              <c:numCache>
                <c:formatCode>General</c:formatCode>
                <c:ptCount val="9"/>
                <c:pt idx="0">
                  <c:v>0.47</c:v>
                </c:pt>
                <c:pt idx="1">
                  <c:v>0.68400000000000005</c:v>
                </c:pt>
                <c:pt idx="2">
                  <c:v>0.83</c:v>
                </c:pt>
                <c:pt idx="3">
                  <c:v>0.94</c:v>
                </c:pt>
                <c:pt idx="4">
                  <c:v>1</c:v>
                </c:pt>
                <c:pt idx="5">
                  <c:v>1.01</c:v>
                </c:pt>
                <c:pt idx="6">
                  <c:v>1.02</c:v>
                </c:pt>
                <c:pt idx="7">
                  <c:v>1.0349999999999999</c:v>
                </c:pt>
                <c:pt idx="8">
                  <c:v>1.1499999999999999</c:v>
                </c:pt>
              </c:numCache>
            </c:numRef>
          </c:xVal>
          <c:yVal>
            <c:numRef>
              <c:f>Blad1!$M$2:$M$10</c:f>
              <c:numCache>
                <c:formatCode>General</c:formatCode>
                <c:ptCount val="9"/>
                <c:pt idx="0">
                  <c:v>329.7</c:v>
                </c:pt>
                <c:pt idx="1">
                  <c:v>209</c:v>
                </c:pt>
                <c:pt idx="2">
                  <c:v>120</c:v>
                </c:pt>
                <c:pt idx="3">
                  <c:v>67</c:v>
                </c:pt>
                <c:pt idx="4">
                  <c:v>41</c:v>
                </c:pt>
                <c:pt idx="5">
                  <c:v>39.5</c:v>
                </c:pt>
                <c:pt idx="6">
                  <c:v>39.200000000000003</c:v>
                </c:pt>
                <c:pt idx="7">
                  <c:v>42</c:v>
                </c:pt>
                <c:pt idx="8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1A-B64D-BA63-A1BAB6F4D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135536"/>
        <c:axId val="844824368"/>
      </c:scatterChart>
      <c:valAx>
        <c:axId val="84513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44824368"/>
        <c:crosses val="autoZero"/>
        <c:crossBetween val="midCat"/>
      </c:valAx>
      <c:valAx>
        <c:axId val="84482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45135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Blad1!$O$2:$O$11</c:f>
              <c:numCache>
                <c:formatCode>General</c:formatCode>
                <c:ptCount val="1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</c:numCache>
            </c:numRef>
          </c:xVal>
          <c:yVal>
            <c:numRef>
              <c:f>Blad1!$P$2:$P$11</c:f>
              <c:numCache>
                <c:formatCode>General</c:formatCode>
                <c:ptCount val="10"/>
                <c:pt idx="0">
                  <c:v>0.19400000000000001</c:v>
                </c:pt>
                <c:pt idx="1">
                  <c:v>0.48399999999999999</c:v>
                </c:pt>
                <c:pt idx="2">
                  <c:v>1.137</c:v>
                </c:pt>
                <c:pt idx="3">
                  <c:v>1.69</c:v>
                </c:pt>
                <c:pt idx="4">
                  <c:v>2.06</c:v>
                </c:pt>
                <c:pt idx="5">
                  <c:v>2.33</c:v>
                </c:pt>
                <c:pt idx="6">
                  <c:v>2.4900000000000002</c:v>
                </c:pt>
                <c:pt idx="7">
                  <c:v>2.65</c:v>
                </c:pt>
                <c:pt idx="8">
                  <c:v>2.79</c:v>
                </c:pt>
                <c:pt idx="9">
                  <c:v>2.99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76-5243-B97D-788A68BDE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753824"/>
        <c:axId val="845040592"/>
      </c:scatterChart>
      <c:valAx>
        <c:axId val="88975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45040592"/>
        <c:crosses val="autoZero"/>
        <c:crossBetween val="midCat"/>
      </c:valAx>
      <c:valAx>
        <c:axId val="8450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8975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425450</xdr:colOff>
      <xdr:row>12</xdr:row>
      <xdr:rowOff>38100</xdr:rowOff>
    </xdr:from>
    <xdr:to>
      <xdr:col>6</xdr:col>
      <xdr:colOff>412750</xdr:colOff>
      <xdr:row>26</xdr:row>
      <xdr:rowOff>114300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72BAAB28-0A18-964C-A3C5-535E39B93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42153</xdr:colOff>
      <xdr:row>13</xdr:row>
      <xdr:rowOff>66742</xdr:rowOff>
    </xdr:from>
    <xdr:to>
      <xdr:col>15</xdr:col>
      <xdr:colOff>181853</xdr:colOff>
      <xdr:row>27</xdr:row>
      <xdr:rowOff>142942</xdr:rowOff>
    </xdr:to>
    <xdr:graphicFrame macro="">
      <xdr:nvGraphicFramePr>
        <xdr:cNvPr id="9" name="Diagram 3">
          <a:extLst>
            <a:ext uri="{FF2B5EF4-FFF2-40B4-BE49-F238E27FC236}">
              <a16:creationId xmlns:a16="http://schemas.microsoft.com/office/drawing/2014/main" id="{8A2F46F0-72FF-9243-843F-1D050256A3C5}"/>
            </a:ext>
            <a:ext uri="{147F2762-F138-4A5C-976F-8EAC2B608ADB}">
              <a16:predDERef xmlns:a16="http://schemas.microsoft.com/office/drawing/2014/main" pred="{72BAAB28-0A18-964C-A3C5-535E39B93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374650</xdr:colOff>
      <xdr:row>12</xdr:row>
      <xdr:rowOff>139700</xdr:rowOff>
    </xdr:from>
    <xdr:to>
      <xdr:col>22</xdr:col>
      <xdr:colOff>234950</xdr:colOff>
      <xdr:row>27</xdr:row>
      <xdr:rowOff>25400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30FCF4BC-F098-5F4C-988A-964FB1039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0FB0-D3E7-B741-A93B-0BA2AEE54F89}">
  <dimension ref="A1:P11"/>
  <sheetViews>
    <sheetView tabSelected="1" topLeftCell="H1" zoomScaleNormal="150" zoomScaleSheetLayoutView="100" workbookViewId="0">
      <selection activeCell="A6" sqref="A6"/>
    </sheetView>
  </sheetViews>
  <sheetFormatPr baseColWidth="10" defaultColWidth="8.83203125" defaultRowHeight="15" x14ac:dyDescent="0.2"/>
  <cols>
    <col min="1" max="1" width="22.83203125" customWidth="1"/>
    <col min="2" max="2" width="23" customWidth="1"/>
    <col min="10" max="10" width="9.6640625" bestFit="1" customWidth="1"/>
    <col min="12" max="12" width="12.33203125" customWidth="1"/>
  </cols>
  <sheetData>
    <row r="1" spans="1:16" x14ac:dyDescent="0.2">
      <c r="A1" t="s">
        <v>0</v>
      </c>
      <c r="E1" s="1" t="s">
        <v>8</v>
      </c>
      <c r="F1" s="1" t="s">
        <v>7</v>
      </c>
      <c r="G1" s="1" t="s">
        <v>6</v>
      </c>
      <c r="H1" s="1" t="s">
        <v>5</v>
      </c>
      <c r="I1" s="1" t="s">
        <v>9</v>
      </c>
      <c r="J1" s="1" t="s">
        <v>10</v>
      </c>
      <c r="L1" s="1" t="s">
        <v>17</v>
      </c>
      <c r="M1" s="1" t="s">
        <v>18</v>
      </c>
      <c r="O1" s="1" t="s">
        <v>19</v>
      </c>
      <c r="P1" s="1" t="s">
        <v>20</v>
      </c>
    </row>
    <row r="2" spans="1:16" x14ac:dyDescent="0.2">
      <c r="A2" t="s">
        <v>1</v>
      </c>
      <c r="B2">
        <v>2000</v>
      </c>
      <c r="E2">
        <v>10</v>
      </c>
      <c r="F2">
        <v>1.734</v>
      </c>
      <c r="G2">
        <f>2.63/1000</f>
        <v>2.63E-3</v>
      </c>
      <c r="H2">
        <f t="shared" ref="H2:H11" si="0">(F2/G2)</f>
        <v>659.31558935361215</v>
      </c>
      <c r="I2">
        <f>2*PI()*E2</f>
        <v>62.831853071795862</v>
      </c>
      <c r="J2">
        <f>SQRT((F2/G2)^2+G280^2)</f>
        <v>659.31558935361215</v>
      </c>
      <c r="L2">
        <v>0.47</v>
      </c>
      <c r="M2">
        <v>329.7</v>
      </c>
      <c r="O2">
        <v>20</v>
      </c>
      <c r="P2">
        <v>0.19400000000000001</v>
      </c>
    </row>
    <row r="3" spans="1:16" x14ac:dyDescent="0.2">
      <c r="A3" t="s">
        <v>2</v>
      </c>
      <c r="B3">
        <v>80</v>
      </c>
      <c r="E3">
        <v>20</v>
      </c>
      <c r="F3">
        <v>1.7649999999999999</v>
      </c>
      <c r="G3">
        <f>1.38/1000</f>
        <v>1.3799999999999999E-3</v>
      </c>
      <c r="H3">
        <f t="shared" si="0"/>
        <v>1278.9855072463768</v>
      </c>
      <c r="I3">
        <f>2*PI()*E3</f>
        <v>125.66370614359172</v>
      </c>
      <c r="J3">
        <f t="shared" ref="J3:J11" si="1">SQRT((F3/G3)^2+G281^2)</f>
        <v>1278.9855072463768</v>
      </c>
      <c r="L3">
        <v>0.68400000000000005</v>
      </c>
      <c r="M3">
        <v>209</v>
      </c>
      <c r="O3">
        <v>40</v>
      </c>
      <c r="P3">
        <v>0.48399999999999999</v>
      </c>
    </row>
    <row r="4" spans="1:16" x14ac:dyDescent="0.2">
      <c r="A4" t="s">
        <v>3</v>
      </c>
      <c r="B4" t="s">
        <v>4</v>
      </c>
      <c r="E4">
        <v>30</v>
      </c>
      <c r="F4">
        <v>1.772</v>
      </c>
      <c r="G4">
        <f>0.93/1000</f>
        <v>9.3000000000000005E-4</v>
      </c>
      <c r="H4">
        <f t="shared" si="0"/>
        <v>1905.3763440860214</v>
      </c>
      <c r="I4">
        <f>2*PI()*E4</f>
        <v>188.49555921538757</v>
      </c>
      <c r="J4">
        <f t="shared" si="1"/>
        <v>1905.3763440860214</v>
      </c>
      <c r="L4">
        <v>0.83</v>
      </c>
      <c r="M4">
        <v>120</v>
      </c>
      <c r="O4">
        <v>60</v>
      </c>
      <c r="P4">
        <v>1.137</v>
      </c>
    </row>
    <row r="5" spans="1:16" x14ac:dyDescent="0.2">
      <c r="A5" t="s">
        <v>12</v>
      </c>
      <c r="B5" t="s">
        <v>15</v>
      </c>
      <c r="E5">
        <v>40</v>
      </c>
      <c r="F5">
        <v>1.774</v>
      </c>
      <c r="G5">
        <f>0.7/1000</f>
        <v>6.9999999999999999E-4</v>
      </c>
      <c r="H5">
        <f t="shared" si="0"/>
        <v>2534.2857142857142</v>
      </c>
      <c r="I5">
        <f>2*PI()*E5</f>
        <v>251.32741228718345</v>
      </c>
      <c r="J5">
        <f t="shared" si="1"/>
        <v>2534.2857142857142</v>
      </c>
      <c r="L5">
        <v>0.94</v>
      </c>
      <c r="M5">
        <v>67</v>
      </c>
      <c r="O5">
        <v>80</v>
      </c>
      <c r="P5">
        <v>1.69</v>
      </c>
    </row>
    <row r="6" spans="1:16" x14ac:dyDescent="0.2">
      <c r="A6" t="s">
        <v>13</v>
      </c>
      <c r="B6" t="s">
        <v>14</v>
      </c>
      <c r="E6">
        <v>50</v>
      </c>
      <c r="F6">
        <v>1.7749999999999999</v>
      </c>
      <c r="G6">
        <v>5.6999999999999998E-4</v>
      </c>
      <c r="H6">
        <f t="shared" si="0"/>
        <v>3114.0350877192982</v>
      </c>
      <c r="I6">
        <f>2*PI()*E6</f>
        <v>314.15926535897933</v>
      </c>
      <c r="J6">
        <f t="shared" si="1"/>
        <v>3114.0350877192982</v>
      </c>
      <c r="L6">
        <v>1</v>
      </c>
      <c r="M6">
        <v>41</v>
      </c>
      <c r="O6">
        <v>100</v>
      </c>
      <c r="P6">
        <v>2.06</v>
      </c>
    </row>
    <row r="7" spans="1:16" x14ac:dyDescent="0.2">
      <c r="A7" t="s">
        <v>11</v>
      </c>
      <c r="B7" t="s">
        <v>16</v>
      </c>
      <c r="E7">
        <v>60</v>
      </c>
      <c r="F7">
        <v>1.776</v>
      </c>
      <c r="G7">
        <v>4.8000000000000001E-4</v>
      </c>
      <c r="H7">
        <f t="shared" si="0"/>
        <v>3700</v>
      </c>
      <c r="I7">
        <f>2*PI()*E7</f>
        <v>376.99111843077515</v>
      </c>
      <c r="J7">
        <f t="shared" si="1"/>
        <v>3700</v>
      </c>
      <c r="L7">
        <v>1.01</v>
      </c>
      <c r="M7">
        <v>39.5</v>
      </c>
      <c r="O7">
        <v>120</v>
      </c>
      <c r="P7">
        <v>2.33</v>
      </c>
    </row>
    <row r="8" spans="1:16" x14ac:dyDescent="0.2">
      <c r="E8">
        <v>70</v>
      </c>
      <c r="F8">
        <v>1.776</v>
      </c>
      <c r="G8">
        <v>4.0000000000000002E-4</v>
      </c>
      <c r="H8">
        <f t="shared" si="0"/>
        <v>4440</v>
      </c>
      <c r="I8">
        <f>2*PI()*E8</f>
        <v>439.82297150257102</v>
      </c>
      <c r="J8">
        <f t="shared" si="1"/>
        <v>4440</v>
      </c>
      <c r="L8">
        <v>1.02</v>
      </c>
      <c r="M8">
        <v>39.200000000000003</v>
      </c>
      <c r="O8">
        <v>140</v>
      </c>
      <c r="P8">
        <v>2.4900000000000002</v>
      </c>
    </row>
    <row r="9" spans="1:16" x14ac:dyDescent="0.2">
      <c r="E9">
        <v>80</v>
      </c>
      <c r="F9">
        <v>1.7769999999999999</v>
      </c>
      <c r="G9">
        <v>3.6000000000000002E-4</v>
      </c>
      <c r="H9">
        <f t="shared" si="0"/>
        <v>4936.1111111111104</v>
      </c>
      <c r="I9">
        <f>2*PI()*E9</f>
        <v>502.6548245743669</v>
      </c>
      <c r="J9">
        <f t="shared" si="1"/>
        <v>4936.1111111111104</v>
      </c>
      <c r="L9">
        <v>1.0349999999999999</v>
      </c>
      <c r="M9">
        <v>42</v>
      </c>
      <c r="O9">
        <v>160</v>
      </c>
      <c r="P9">
        <v>2.65</v>
      </c>
    </row>
    <row r="10" spans="1:16" x14ac:dyDescent="0.2">
      <c r="E10">
        <v>90</v>
      </c>
      <c r="F10">
        <v>1.7769999999999999</v>
      </c>
      <c r="G10">
        <v>3.2000000000000003E-4</v>
      </c>
      <c r="H10">
        <f t="shared" si="0"/>
        <v>5553.1249999999991</v>
      </c>
      <c r="I10">
        <f>2*PI()*E10</f>
        <v>565.48667764616278</v>
      </c>
      <c r="J10">
        <f t="shared" si="1"/>
        <v>5553.1249999999991</v>
      </c>
      <c r="L10">
        <v>1.1499999999999999</v>
      </c>
      <c r="M10">
        <v>87</v>
      </c>
      <c r="O10">
        <v>180</v>
      </c>
      <c r="P10">
        <v>2.79</v>
      </c>
    </row>
    <row r="11" spans="1:16" x14ac:dyDescent="0.2">
      <c r="E11">
        <v>100</v>
      </c>
      <c r="F11">
        <v>1.7769999999999999</v>
      </c>
      <c r="G11">
        <v>2.7999999999999998E-4</v>
      </c>
      <c r="H11">
        <f t="shared" si="0"/>
        <v>6346.4285714285716</v>
      </c>
      <c r="I11">
        <f>2*PI()*E11</f>
        <v>628.31853071795865</v>
      </c>
      <c r="J11">
        <f t="shared" si="1"/>
        <v>6346.4285714285716</v>
      </c>
      <c r="O11">
        <v>200</v>
      </c>
      <c r="P11">
        <v>2.99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Sahand Khodabandehloo</dc:creator>
  <cp:lastModifiedBy>tor modin</cp:lastModifiedBy>
  <dcterms:created xsi:type="dcterms:W3CDTF">2021-10-12T13:15:10Z</dcterms:created>
  <dcterms:modified xsi:type="dcterms:W3CDTF">2021-10-12T13:20:41Z</dcterms:modified>
</cp:coreProperties>
</file>