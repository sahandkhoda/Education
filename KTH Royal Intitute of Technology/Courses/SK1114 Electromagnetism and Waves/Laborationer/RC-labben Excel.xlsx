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b03d64890cf78b3/KTH - Dokument/SK1114 HT21-1 Elektromagnetism/"/>
    </mc:Choice>
  </mc:AlternateContent>
  <xr:revisionPtr revIDLastSave="369" documentId="8_{3C1D43BA-33A1-4D2C-B2F5-C3FB0243EDDB}" xr6:coauthVersionLast="45" xr6:coauthVersionMax="47" xr10:uidLastSave="{6E4EBFFB-5ED7-4BAE-B3E6-82A624D2995D}"/>
  <bookViews>
    <workbookView xWindow="4230" yWindow="1920" windowWidth="20850" windowHeight="13170" xr2:uid="{99E6E1DB-3669-47FA-9658-1DDAE9DC8E2B}"/>
  </bookViews>
  <sheets>
    <sheet name="Blad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32" i="1" l="1"/>
  <c r="B15" i="1" l="1"/>
  <c r="C16" i="1"/>
  <c r="D16" i="1"/>
  <c r="E16" i="1"/>
  <c r="B16" i="1"/>
  <c r="E15" i="1"/>
  <c r="D15" i="1"/>
  <c r="C15" i="1"/>
</calcChain>
</file>

<file path=xl/sharedStrings.xml><?xml version="1.0" encoding="utf-8"?>
<sst xmlns="http://schemas.openxmlformats.org/spreadsheetml/2006/main" count="36" uniqueCount="35">
  <si>
    <t>Kabelens Längd [m]</t>
  </si>
  <si>
    <t>Kabelens inre diameter [mm]</t>
  </si>
  <si>
    <t>#</t>
  </si>
  <si>
    <t>R inre [Ohm]</t>
  </si>
  <si>
    <t>R yttre [Ohm]</t>
  </si>
  <si>
    <t>C (jordat yttre) [nF]</t>
  </si>
  <si>
    <t>C (jordat inre) [nF]</t>
  </si>
  <si>
    <t>R fel inre</t>
  </si>
  <si>
    <t>R fel yttre</t>
  </si>
  <si>
    <t>C fel yttre</t>
  </si>
  <si>
    <t>C fel inre</t>
  </si>
  <si>
    <t>Medelvärde</t>
  </si>
  <si>
    <t>1.161416759</t>
  </si>
  <si>
    <t>Standardavvikelse</t>
  </si>
  <si>
    <t>R medel</t>
  </si>
  <si>
    <t>R fel</t>
  </si>
  <si>
    <t>Rtot</t>
  </si>
  <si>
    <t>radie (mm)</t>
  </si>
  <si>
    <t>Rfel</t>
  </si>
  <si>
    <t>rtot</t>
  </si>
  <si>
    <t>CY+fel</t>
  </si>
  <si>
    <t>CI+fel</t>
  </si>
  <si>
    <t>146.35±0.054</t>
  </si>
  <si>
    <t>3.36547*10^(-5)</t>
  </si>
  <si>
    <t>0.182421±3.36547*10^(-5)</t>
  </si>
  <si>
    <t>a</t>
  </si>
  <si>
    <t>b</t>
  </si>
  <si>
    <t>RC-konstant, τ [μs]</t>
  </si>
  <si>
    <t>Diagramnummer, n</t>
  </si>
  <si>
    <t>Frekvens [Hz]</t>
  </si>
  <si>
    <t>0,1/RC</t>
  </si>
  <si>
    <t>0,2/RC</t>
  </si>
  <si>
    <t>0,3/RC</t>
  </si>
  <si>
    <t>0,4/RC</t>
  </si>
  <si>
    <t>0,5/RC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</si>
</sst>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color rgb="FF000000"/>
      <name val="Calibri"/>
    </font>
    <font>
      <b/>
      <sz val="11"/>
      <color theme="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1" fillId="0" borderId="0" xfId="0" applyNumberFormat="1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5" fillId="0" borderId="0" xfId="0" applyFont="1"/>
    <xf numFmtId="2" fontId="0" fillId="0" borderId="0" xfId="0" applyNumberFormat="1"/>
    <xf numFmtId="0" fontId="5" fillId="0" borderId="0" xfId="0" applyFont="1" applyAlignment="1">
      <alignment horizontal="left"/>
    </xf>
    <xf numFmtId="2" fontId="3" fillId="0" borderId="0" xfId="0" applyNumberFormat="1" applyFont="1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142314</xdr:colOff>
      <xdr:row>20</xdr:row>
      <xdr:rowOff>30256</xdr:rowOff>
    </xdr:from>
    <xdr:ext cx="65" cy="172227"/>
    <xdr:sp macro="" textlink="">
      <xdr:nvSpPr>
        <xdr:cNvPr id="3" name="textruta 2">
          <a:extLst>
            <a:ext uri="{FF2B5EF4-FFF2-40B4-BE49-F238E27FC236}">
              <a16:creationId xmlns:a16="http://schemas.microsoft.com/office/drawing/2014/main" id="{35312D6C-93B1-4BEC-AB99-6A7EEAA819EA}"/>
            </a:ext>
          </a:extLst>
        </xdr:cNvPr>
        <xdr:cNvSpPr txBox="1"/>
      </xdr:nvSpPr>
      <xdr:spPr>
        <a:xfrm>
          <a:off x="10048314" y="384025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sv-SE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E3A82-85E4-4D80-8B1C-0E383F946F49}">
  <dimension ref="A1:S34"/>
  <sheetViews>
    <sheetView tabSelected="1" topLeftCell="A19" zoomScale="85" zoomScaleNormal="85" workbookViewId="0">
      <selection activeCell="E40" sqref="E40"/>
    </sheetView>
  </sheetViews>
  <sheetFormatPr defaultRowHeight="15" x14ac:dyDescent="0.25"/>
  <cols>
    <col min="1" max="1" width="18.7109375" customWidth="1"/>
    <col min="2" max="2" width="27.7109375" customWidth="1"/>
    <col min="3" max="3" width="19.140625" customWidth="1"/>
    <col min="4" max="4" width="18.7109375" customWidth="1"/>
    <col min="5" max="5" width="19.85546875" customWidth="1"/>
    <col min="6" max="6" width="26.42578125" customWidth="1"/>
    <col min="7" max="9" width="9.28515625" bestFit="1" customWidth="1"/>
    <col min="14" max="14" width="18.85546875" customWidth="1"/>
    <col min="15" max="15" width="17.42578125" customWidth="1"/>
    <col min="16" max="16" width="16.5703125" customWidth="1"/>
    <col min="17" max="17" width="5.28515625" customWidth="1"/>
  </cols>
  <sheetData>
    <row r="1" spans="1:19" x14ac:dyDescent="0.25">
      <c r="B1" s="1" t="s">
        <v>0</v>
      </c>
      <c r="C1" s="1">
        <v>900</v>
      </c>
      <c r="D1" s="1"/>
      <c r="E1" s="1"/>
    </row>
    <row r="2" spans="1:19" x14ac:dyDescent="0.25">
      <c r="B2" s="4" t="s">
        <v>1</v>
      </c>
      <c r="C2" s="3">
        <v>0.35</v>
      </c>
      <c r="D2" s="1"/>
      <c r="E2" s="1"/>
    </row>
    <row r="3" spans="1:19" x14ac:dyDescent="0.25">
      <c r="B3" s="1"/>
      <c r="C3" s="1"/>
      <c r="D3" s="1"/>
      <c r="E3" s="1"/>
    </row>
    <row r="4" spans="1:19" s="9" customFormat="1" x14ac:dyDescent="0.25">
      <c r="A4" s="8" t="s">
        <v>2</v>
      </c>
      <c r="B4" s="5" t="s">
        <v>3</v>
      </c>
      <c r="C4" s="5" t="s">
        <v>4</v>
      </c>
      <c r="D4" s="5" t="s">
        <v>5</v>
      </c>
      <c r="E4" s="5" t="s">
        <v>6</v>
      </c>
      <c r="G4" s="9" t="s">
        <v>7</v>
      </c>
      <c r="H4" s="9" t="s">
        <v>8</v>
      </c>
      <c r="I4" s="9" t="s">
        <v>9</v>
      </c>
      <c r="J4" s="9" t="s">
        <v>10</v>
      </c>
      <c r="N4" s="8"/>
      <c r="O4" s="5"/>
      <c r="P4" s="5"/>
    </row>
    <row r="5" spans="1:19" x14ac:dyDescent="0.25">
      <c r="A5">
        <v>1</v>
      </c>
      <c r="B5" s="3">
        <v>257.5</v>
      </c>
      <c r="C5" s="3">
        <v>35.1</v>
      </c>
      <c r="D5" s="2">
        <v>92</v>
      </c>
      <c r="E5" s="3">
        <v>87.1</v>
      </c>
      <c r="G5">
        <v>-0.06</v>
      </c>
      <c r="H5">
        <v>-0.04</v>
      </c>
      <c r="I5">
        <v>0.23</v>
      </c>
      <c r="J5">
        <v>-0.4</v>
      </c>
      <c r="O5" s="3"/>
      <c r="P5" s="3"/>
    </row>
    <row r="6" spans="1:19" x14ac:dyDescent="0.25">
      <c r="A6">
        <v>2</v>
      </c>
      <c r="B6" s="3">
        <v>257.60000000000002</v>
      </c>
      <c r="C6" s="3">
        <v>35.1</v>
      </c>
      <c r="D6" s="3">
        <v>91.9</v>
      </c>
      <c r="E6" s="3">
        <v>88.4</v>
      </c>
      <c r="G6">
        <v>0.04</v>
      </c>
      <c r="H6">
        <v>-0.04</v>
      </c>
      <c r="I6">
        <v>0.13</v>
      </c>
      <c r="J6">
        <v>0.9</v>
      </c>
      <c r="O6" s="3"/>
      <c r="P6" s="3"/>
    </row>
    <row r="7" spans="1:19" x14ac:dyDescent="0.25">
      <c r="A7">
        <v>3</v>
      </c>
      <c r="B7" s="3">
        <v>257.60000000000002</v>
      </c>
      <c r="C7" s="3">
        <v>35.1</v>
      </c>
      <c r="D7" s="2">
        <v>92</v>
      </c>
      <c r="E7" s="3">
        <v>88.6</v>
      </c>
      <c r="G7">
        <v>0.04</v>
      </c>
      <c r="H7">
        <v>-0.04</v>
      </c>
      <c r="I7">
        <v>0.23</v>
      </c>
      <c r="J7">
        <v>1.1000000000000001</v>
      </c>
      <c r="O7" s="3"/>
      <c r="P7" s="3"/>
    </row>
    <row r="8" spans="1:19" x14ac:dyDescent="0.25">
      <c r="A8">
        <v>4</v>
      </c>
      <c r="B8" s="3">
        <v>257.7</v>
      </c>
      <c r="C8" s="3">
        <v>35.1</v>
      </c>
      <c r="D8" s="3">
        <v>91.9</v>
      </c>
      <c r="E8" s="3">
        <v>89.1</v>
      </c>
      <c r="G8">
        <v>0.14000000000000001</v>
      </c>
      <c r="H8">
        <v>-0.04</v>
      </c>
      <c r="I8">
        <v>0.13</v>
      </c>
      <c r="J8">
        <v>1.6</v>
      </c>
      <c r="O8" s="3"/>
      <c r="P8" s="3"/>
    </row>
    <row r="9" spans="1:19" x14ac:dyDescent="0.25">
      <c r="A9">
        <v>5</v>
      </c>
      <c r="B9" s="3">
        <v>257.60000000000002</v>
      </c>
      <c r="C9" s="3">
        <v>35.1</v>
      </c>
      <c r="D9" s="3">
        <v>91.9</v>
      </c>
      <c r="E9" s="3">
        <v>88.9</v>
      </c>
      <c r="G9">
        <v>0.04</v>
      </c>
      <c r="H9">
        <v>-0.04</v>
      </c>
      <c r="I9">
        <v>0.13</v>
      </c>
      <c r="J9">
        <v>1.4</v>
      </c>
      <c r="O9" s="3"/>
      <c r="P9" s="3"/>
    </row>
    <row r="10" spans="1:19" x14ac:dyDescent="0.25">
      <c r="A10">
        <v>6</v>
      </c>
      <c r="B10" s="3">
        <v>257.5</v>
      </c>
      <c r="C10" s="3">
        <v>35.1</v>
      </c>
      <c r="D10" s="3">
        <v>91.9</v>
      </c>
      <c r="E10" s="2">
        <v>87</v>
      </c>
      <c r="G10">
        <v>-0.06</v>
      </c>
      <c r="H10">
        <v>-0.04</v>
      </c>
      <c r="I10">
        <v>0.13</v>
      </c>
      <c r="J10">
        <v>-0.5</v>
      </c>
      <c r="O10" s="3"/>
      <c r="P10" s="3"/>
    </row>
    <row r="11" spans="1:19" x14ac:dyDescent="0.25">
      <c r="A11">
        <v>7</v>
      </c>
      <c r="B11" s="3">
        <v>257.5</v>
      </c>
      <c r="C11" s="3">
        <v>35.200000000000003</v>
      </c>
      <c r="D11" s="3">
        <v>91.8</v>
      </c>
      <c r="E11" s="3">
        <v>86.2</v>
      </c>
      <c r="G11">
        <v>-0.06</v>
      </c>
      <c r="H11">
        <v>0.06</v>
      </c>
      <c r="I11">
        <v>0.03</v>
      </c>
      <c r="J11">
        <v>-1.3</v>
      </c>
      <c r="O11" s="3"/>
      <c r="P11" s="3"/>
    </row>
    <row r="12" spans="1:19" x14ac:dyDescent="0.25">
      <c r="A12">
        <v>8</v>
      </c>
      <c r="B12" s="3">
        <v>257.5</v>
      </c>
      <c r="C12" s="3">
        <v>35.200000000000003</v>
      </c>
      <c r="D12" s="3">
        <v>91.6</v>
      </c>
      <c r="E12" s="2">
        <v>86</v>
      </c>
      <c r="G12">
        <v>-0.06</v>
      </c>
      <c r="H12">
        <v>0.06</v>
      </c>
      <c r="I12">
        <v>-0.17</v>
      </c>
      <c r="J12">
        <v>-1.5</v>
      </c>
      <c r="O12" s="3"/>
      <c r="P12" s="3"/>
    </row>
    <row r="13" spans="1:19" x14ac:dyDescent="0.25">
      <c r="A13">
        <v>9</v>
      </c>
      <c r="B13" s="3">
        <v>257.60000000000002</v>
      </c>
      <c r="C13" s="3">
        <v>35.200000000000003</v>
      </c>
      <c r="D13" s="3">
        <v>91.5</v>
      </c>
      <c r="E13" s="3">
        <v>86.4</v>
      </c>
      <c r="G13">
        <v>0.04</v>
      </c>
      <c r="H13">
        <v>0.06</v>
      </c>
      <c r="I13">
        <v>-0.27</v>
      </c>
      <c r="J13">
        <v>-1.1000000000000001</v>
      </c>
      <c r="O13" s="3"/>
      <c r="P13" s="3"/>
    </row>
    <row r="14" spans="1:19" x14ac:dyDescent="0.25">
      <c r="A14">
        <v>10</v>
      </c>
      <c r="B14" s="3">
        <v>257.5</v>
      </c>
      <c r="C14" s="3">
        <v>35.200000000000003</v>
      </c>
      <c r="D14" s="3">
        <v>91.2</v>
      </c>
      <c r="E14" s="3">
        <v>87.3</v>
      </c>
      <c r="G14">
        <v>-0.06</v>
      </c>
      <c r="H14">
        <v>0.06</v>
      </c>
      <c r="I14">
        <v>-0.56999999999999995</v>
      </c>
      <c r="J14">
        <v>-0.2</v>
      </c>
      <c r="O14" s="3"/>
      <c r="P14" s="3"/>
    </row>
    <row r="15" spans="1:19" s="7" customFormat="1" x14ac:dyDescent="0.25">
      <c r="A15" s="6" t="s">
        <v>11</v>
      </c>
      <c r="B15" s="6">
        <f>AVERAGE(B5:B14)</f>
        <v>257.56</v>
      </c>
      <c r="C15" s="6">
        <f>AVERAGE(C5:C14)</f>
        <v>35.14</v>
      </c>
      <c r="D15" s="12">
        <f>AVERAGE(D5:D14)</f>
        <v>91.77</v>
      </c>
      <c r="E15" s="6">
        <f>AVERAGE(E5:E14)</f>
        <v>87.5</v>
      </c>
      <c r="G15" s="7">
        <v>6.9920590000000005E-2</v>
      </c>
      <c r="H15" s="7">
        <v>5.1638999999999997E-2</v>
      </c>
      <c r="I15" s="7">
        <v>0.25841396599999999</v>
      </c>
      <c r="J15" s="7" t="s">
        <v>12</v>
      </c>
      <c r="N15" s="6"/>
      <c r="O15" s="6"/>
      <c r="P15" s="6"/>
      <c r="R15" s="9"/>
    </row>
    <row r="16" spans="1:19" s="8" customFormat="1" x14ac:dyDescent="0.25">
      <c r="A16" s="11" t="s">
        <v>13</v>
      </c>
      <c r="B16" s="11">
        <f>_xlfn.STDEV.S(B5:B14)</f>
        <v>6.9920589878013334E-2</v>
      </c>
      <c r="C16" s="11">
        <f>_xlfn.STDEV.S(C5:C14)</f>
        <v>5.1639777949432961E-2</v>
      </c>
      <c r="D16" s="11">
        <f>_xlfn.STDEV.S(D5:D14)</f>
        <v>0.25841396591085836</v>
      </c>
      <c r="E16" s="11">
        <f>_xlfn.STDEV.S(E5:E14)</f>
        <v>1.1614167593456222</v>
      </c>
      <c r="N16" s="9"/>
      <c r="R16" s="7"/>
      <c r="S16" s="7"/>
    </row>
    <row r="17" spans="1:19" x14ac:dyDescent="0.25">
      <c r="D17" s="10"/>
      <c r="N17" s="11"/>
      <c r="O17" s="11"/>
      <c r="P17" s="11"/>
    </row>
    <row r="18" spans="1:19" s="9" customFormat="1" x14ac:dyDescent="0.25"/>
    <row r="20" spans="1:19" x14ac:dyDescent="0.25">
      <c r="A20" s="9" t="s">
        <v>14</v>
      </c>
      <c r="B20" s="9" t="s">
        <v>15</v>
      </c>
      <c r="C20" s="9" t="s">
        <v>16</v>
      </c>
      <c r="D20" s="9" t="s">
        <v>17</v>
      </c>
      <c r="E20" s="9" t="s">
        <v>18</v>
      </c>
      <c r="F20" s="9" t="s">
        <v>19</v>
      </c>
      <c r="G20" s="9" t="s">
        <v>20</v>
      </c>
      <c r="H20" s="9" t="s">
        <v>21</v>
      </c>
    </row>
    <row r="21" spans="1:19" x14ac:dyDescent="0.25">
      <c r="A21">
        <v>146.35</v>
      </c>
      <c r="B21">
        <v>5.3999999999999999E-2</v>
      </c>
      <c r="C21" t="s">
        <v>22</v>
      </c>
      <c r="D21">
        <v>0.182421</v>
      </c>
      <c r="E21" t="s">
        <v>23</v>
      </c>
      <c r="F21" t="s">
        <v>24</v>
      </c>
      <c r="G21" t="s">
        <v>25</v>
      </c>
      <c r="H21" t="s">
        <v>26</v>
      </c>
      <c r="N21" s="8"/>
      <c r="O21" s="5"/>
      <c r="P21" s="5"/>
      <c r="Q21" s="9"/>
      <c r="R21" s="9"/>
      <c r="S21" s="9"/>
    </row>
    <row r="22" spans="1:19" x14ac:dyDescent="0.25">
      <c r="O22" s="2"/>
      <c r="P22" s="3"/>
    </row>
    <row r="23" spans="1:19" x14ac:dyDescent="0.25">
      <c r="O23" s="3"/>
      <c r="P23" s="3"/>
    </row>
    <row r="24" spans="1:19" x14ac:dyDescent="0.25">
      <c r="O24" s="2"/>
      <c r="P24" s="3"/>
    </row>
    <row r="25" spans="1:19" x14ac:dyDescent="0.25">
      <c r="O25" s="3"/>
      <c r="P25" s="3"/>
    </row>
    <row r="26" spans="1:19" x14ac:dyDescent="0.25">
      <c r="A26" s="9" t="s">
        <v>28</v>
      </c>
      <c r="B26" s="9" t="s">
        <v>27</v>
      </c>
      <c r="C26" s="9" t="s">
        <v>29</v>
      </c>
      <c r="O26" s="3"/>
      <c r="P26" s="3"/>
    </row>
    <row r="27" spans="1:19" x14ac:dyDescent="0.25">
      <c r="A27">
        <v>1</v>
      </c>
      <c r="B27">
        <v>13</v>
      </c>
      <c r="C27" s="13" t="s">
        <v>30</v>
      </c>
      <c r="O27" s="3"/>
      <c r="P27" s="2"/>
    </row>
    <row r="28" spans="1:19" x14ac:dyDescent="0.25">
      <c r="A28">
        <v>2</v>
      </c>
      <c r="B28">
        <v>12.5</v>
      </c>
      <c r="C28" s="13" t="s">
        <v>31</v>
      </c>
      <c r="O28" s="3"/>
      <c r="P28" s="3"/>
    </row>
    <row r="29" spans="1:19" x14ac:dyDescent="0.25">
      <c r="A29">
        <v>3</v>
      </c>
      <c r="B29">
        <v>10</v>
      </c>
      <c r="C29" s="13" t="s">
        <v>32</v>
      </c>
      <c r="O29" s="3"/>
      <c r="P29" s="2"/>
    </row>
    <row r="30" spans="1:19" x14ac:dyDescent="0.25">
      <c r="A30">
        <v>4</v>
      </c>
      <c r="B30">
        <v>7.8</v>
      </c>
      <c r="C30" s="13" t="s">
        <v>33</v>
      </c>
      <c r="O30" s="3"/>
      <c r="P30" s="3"/>
    </row>
    <row r="31" spans="1:19" x14ac:dyDescent="0.25">
      <c r="A31">
        <v>5</v>
      </c>
      <c r="B31">
        <v>7.6</v>
      </c>
      <c r="C31" s="13" t="s">
        <v>34</v>
      </c>
      <c r="O31" s="3"/>
      <c r="P31" s="3"/>
    </row>
    <row r="32" spans="1:19" x14ac:dyDescent="0.25">
      <c r="A32" s="11" t="s">
        <v>13</v>
      </c>
      <c r="B32" s="11">
        <f>_xlfn.STDEV.S(B27,B31)</f>
        <v>3.8183766184073509</v>
      </c>
      <c r="N32" s="6"/>
      <c r="O32" s="12"/>
      <c r="P32" s="6"/>
      <c r="Q32" s="7"/>
      <c r="R32" s="9"/>
      <c r="S32" s="7"/>
    </row>
    <row r="33" spans="14:19" x14ac:dyDescent="0.25">
      <c r="N33" s="9"/>
      <c r="O33" s="11"/>
      <c r="P33" s="11"/>
      <c r="Q33" s="8"/>
      <c r="R33" s="7"/>
      <c r="S33" s="7"/>
    </row>
    <row r="34" spans="14:19" x14ac:dyDescent="0.25">
      <c r="N34" s="11"/>
      <c r="O34" s="11"/>
      <c r="P34" s="11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Sahand</dc:creator>
  <cp:keywords/>
  <dc:description/>
  <cp:lastModifiedBy>Sahand Khodabandehloo</cp:lastModifiedBy>
  <cp:revision/>
  <dcterms:created xsi:type="dcterms:W3CDTF">2021-10-03T12:38:05Z</dcterms:created>
  <dcterms:modified xsi:type="dcterms:W3CDTF">2021-10-09T21:48:51Z</dcterms:modified>
  <cp:category/>
  <cp:contentStatus/>
</cp:coreProperties>
</file>